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5"/>
    <sheet state="visible" name="June" sheetId="2" r:id="rId6"/>
    <sheet state="visible" name="CARD USED - LIST" sheetId="3" r:id="rId7"/>
  </sheets>
  <definedNames/>
  <calcPr/>
</workbook>
</file>

<file path=xl/sharedStrings.xml><?xml version="1.0" encoding="utf-8"?>
<sst xmlns="http://schemas.openxmlformats.org/spreadsheetml/2006/main" count="597" uniqueCount="172">
  <si>
    <t>Income Budget</t>
  </si>
  <si>
    <t>Actual Income</t>
  </si>
  <si>
    <t>Top 10 Most Expensive Food</t>
  </si>
  <si>
    <t>Top 10 Most Expensive Drinks</t>
  </si>
  <si>
    <t>Current Income</t>
  </si>
  <si>
    <t>Amount</t>
  </si>
  <si>
    <t>Date</t>
  </si>
  <si>
    <t>Notes</t>
  </si>
  <si>
    <t>Vendor</t>
  </si>
  <si>
    <t>Category</t>
  </si>
  <si>
    <t>Card Used</t>
  </si>
  <si>
    <t>Person A - Paycheck 1</t>
  </si>
  <si>
    <t>Person A - Paycheck 2</t>
  </si>
  <si>
    <t>Person B - Paycheck 1</t>
  </si>
  <si>
    <t>Person B - Paycheck 2</t>
  </si>
  <si>
    <t>Interest - HYSA 1</t>
  </si>
  <si>
    <t>Interest - HYSA 2</t>
  </si>
  <si>
    <t>Interest - Checking</t>
  </si>
  <si>
    <t>Other 1</t>
  </si>
  <si>
    <t>Other 2</t>
  </si>
  <si>
    <t>Total</t>
  </si>
  <si>
    <t xml:space="preserve">Raw Free Spend: </t>
  </si>
  <si>
    <t>Expenses Budget</t>
  </si>
  <si>
    <t>Actual Expenses</t>
  </si>
  <si>
    <t>Top 10 Total Costs (No Rent/Savings/Work)</t>
  </si>
  <si>
    <t>Fixed Expenses</t>
  </si>
  <si>
    <t>Budget</t>
  </si>
  <si>
    <t>Actual</t>
  </si>
  <si>
    <t>Fixed &amp; Variable Expenses</t>
  </si>
  <si>
    <t>Amount Paid</t>
  </si>
  <si>
    <t>Points Multiplier</t>
  </si>
  <si>
    <t>Points Earned</t>
  </si>
  <si>
    <t>Points Value (1 CPP)</t>
  </si>
  <si>
    <t>Points If 1.5</t>
  </si>
  <si>
    <t>Money 1.5</t>
  </si>
  <si>
    <t>Points 2x</t>
  </si>
  <si>
    <t>Money 2x</t>
  </si>
  <si>
    <t>Rent</t>
  </si>
  <si>
    <t>rent</t>
  </si>
  <si>
    <t>NONE</t>
  </si>
  <si>
    <t>Roth IRA</t>
  </si>
  <si>
    <t>Roth ira</t>
  </si>
  <si>
    <t>Subscriptions</t>
  </si>
  <si>
    <t>vital</t>
  </si>
  <si>
    <t>Gym Membership</t>
  </si>
  <si>
    <t>Phone Bill</t>
  </si>
  <si>
    <t>diamond heart</t>
  </si>
  <si>
    <t>phone bill</t>
  </si>
  <si>
    <t>Internet</t>
  </si>
  <si>
    <t>therapy</t>
  </si>
  <si>
    <t>MTA</t>
  </si>
  <si>
    <t>prime</t>
  </si>
  <si>
    <t>Savings</t>
  </si>
  <si>
    <t>mta</t>
  </si>
  <si>
    <t>Reserve - Chase</t>
  </si>
  <si>
    <t>Seperate Account</t>
  </si>
  <si>
    <t>Emergency savings</t>
  </si>
  <si>
    <t>Emergency Savings</t>
  </si>
  <si>
    <t>savings</t>
  </si>
  <si>
    <t>Variable Expenses</t>
  </si>
  <si>
    <t>seperate account</t>
  </si>
  <si>
    <t>Groceries</t>
  </si>
  <si>
    <t>investing</t>
  </si>
  <si>
    <t>Investing</t>
  </si>
  <si>
    <t>Google Sheets formulas: uses SORT(FILTER({Vendor,Category,Amount,Card Used}, conditions), 3, FALSE). Food includes Eating out + Groceries; drinks uses Coffee/ drinks; totals exclude Rent, Savings, Emergency Savings, Roth IRA, Seperate Account, Work, and Rebates.</t>
  </si>
  <si>
    <t>Eating out</t>
  </si>
  <si>
    <t>-----------------------------------</t>
  </si>
  <si>
    <t>----------------------------</t>
  </si>
  <si>
    <t>Coffee/ drinks</t>
  </si>
  <si>
    <t>INDUSTRIOUS OFFICE</t>
  </si>
  <si>
    <t>work</t>
  </si>
  <si>
    <t>Preferred- Chase</t>
  </si>
  <si>
    <t>Ubers</t>
  </si>
  <si>
    <t>PURCHASE INTEREST CHARGE</t>
  </si>
  <si>
    <t>misc</t>
  </si>
  <si>
    <t>Fun</t>
  </si>
  <si>
    <t>Travel Fund</t>
  </si>
  <si>
    <t>LYFT  *STANDARD 05-04</t>
  </si>
  <si>
    <t>TST*CRAVE FISHBAR UES</t>
  </si>
  <si>
    <t>SQ *B LOUNGE NYC</t>
  </si>
  <si>
    <t>TST*THE PENROSE</t>
  </si>
  <si>
    <t>*EXTRA 4</t>
  </si>
  <si>
    <t>SQ *HARLEM HALAL GRILL</t>
  </si>
  <si>
    <t>*EXTRA 5</t>
  </si>
  <si>
    <t>*EXTRA 6</t>
  </si>
  <si>
    <t>KEY FOOD 1750</t>
  </si>
  <si>
    <t>SQ *THE COMMONS</t>
  </si>
  <si>
    <t>MTA*MNR STATION TIX</t>
  </si>
  <si>
    <t>Total Variable Spending</t>
  </si>
  <si>
    <t>LYFT *1 RIDE 05-10</t>
  </si>
  <si>
    <t>Profit</t>
  </si>
  <si>
    <t>Savings Rate</t>
  </si>
  <si>
    <t>TST*ELECTRIC BURRITO EAS</t>
  </si>
  <si>
    <t>HUDSON ST2281</t>
  </si>
  <si>
    <t>Other Savings</t>
  </si>
  <si>
    <t>CVS/PHARMACY #07019</t>
  </si>
  <si>
    <t>BEDFORD EXOTICS INC</t>
  </si>
  <si>
    <t>Total Savings</t>
  </si>
  <si>
    <t>MISTER WRIGHT FINE WINES</t>
  </si>
  <si>
    <t>SQ *HUDSON VALLEY BREWERY</t>
  </si>
  <si>
    <t>Total Points Generated</t>
  </si>
  <si>
    <t>EL SANTO TAQUERIA</t>
  </si>
  <si>
    <t>CCP Points</t>
  </si>
  <si>
    <t>WHOLEFDS UES #10518</t>
  </si>
  <si>
    <t>STUBHUB CREDIT $300/YEAR</t>
  </si>
  <si>
    <t>If I used a 1.5x card as well</t>
  </si>
  <si>
    <t>STUBHUB INC</t>
  </si>
  <si>
    <t>CCP Points 1.5</t>
  </si>
  <si>
    <t>DINING CREDIT $300/YEAR</t>
  </si>
  <si>
    <t>TST*SCARRS PIZZA</t>
  </si>
  <si>
    <t>If I used a 2x card as well</t>
  </si>
  <si>
    <t>CCP Points 2</t>
  </si>
  <si>
    <t>SQ *STEIGHT</t>
  </si>
  <si>
    <t>TST*CRUMBLY CAFE &amp;amp; BAKER</t>
  </si>
  <si>
    <t>SWEETGREEN GREEN CENTR</t>
  </si>
  <si>
    <t>OPS*HR215 E 89 CP</t>
  </si>
  <si>
    <t>FSI*CONED BILL PAYMENT</t>
  </si>
  <si>
    <t>Offer:WHOOP</t>
  </si>
  <si>
    <t>TST*MOMOFUKU NOODLE BAR</t>
  </si>
  <si>
    <t>10523 CAVA UPPER EAST</t>
  </si>
  <si>
    <t>TST* LE PAIN QUOTIDIEN -</t>
  </si>
  <si>
    <t>SQ *BAYA BAR</t>
  </si>
  <si>
    <t>TST*BIRDS OF A FEATHER</t>
  </si>
  <si>
    <t>ESRI</t>
  </si>
  <si>
    <t>DD *DOORDASH 7-ELEVEN</t>
  </si>
  <si>
    <t>EB *THE GREAT CURIOUS</t>
  </si>
  <si>
    <t>APPLE STORE #R594</t>
  </si>
  <si>
    <t>WHOOP</t>
  </si>
  <si>
    <t>TRAVEL CREDIT $300/YEAR</t>
  </si>
  <si>
    <t>LITTLE ITALY INN</t>
  </si>
  <si>
    <t>CHICK-FIL-A #05287</t>
  </si>
  <si>
    <t>TARGET 00033878</t>
  </si>
  <si>
    <t>TACO BELL 035896</t>
  </si>
  <si>
    <t>YORKVILLE DELI MARKET</t>
  </si>
  <si>
    <t>SQ *CRAFT+CARRY UPPER EAS</t>
  </si>
  <si>
    <t>SQ *BIRCH COFFEE UPPER UP</t>
  </si>
  <si>
    <t>ANNUAL MEMBERSHIP FEE</t>
  </si>
  <si>
    <t>Daily planet diner</t>
  </si>
  <si>
    <t>BAYA BAR</t>
  </si>
  <si>
    <t>PATISSERIE LENOX I</t>
  </si>
  <si>
    <t>Haven Cafe Bakery</t>
  </si>
  <si>
    <t>Haved Cafe Bakery</t>
  </si>
  <si>
    <t>Market 32 (splt between everyone)</t>
  </si>
  <si>
    <t>shell peanuts</t>
  </si>
  <si>
    <t>shell austins food</t>
  </si>
  <si>
    <t>Laundry</t>
  </si>
  <si>
    <t>commons</t>
  </si>
  <si>
    <t>les wine for austins hosue</t>
  </si>
  <si>
    <t>Uber</t>
  </si>
  <si>
    <t>Hana house drink</t>
  </si>
  <si>
    <t>beers for austins place party</t>
  </si>
  <si>
    <t>visible</t>
  </si>
  <si>
    <t>River food (pizza)</t>
  </si>
  <si>
    <t>coffee cloud w jordan</t>
  </si>
  <si>
    <t xml:space="preserve">momo valley </t>
  </si>
  <si>
    <t>donuts</t>
  </si>
  <si>
    <t>AMC movie</t>
  </si>
  <si>
    <t>lyft to jordan</t>
  </si>
  <si>
    <t>mta transit</t>
  </si>
  <si>
    <t>yorkville deli market energy drink</t>
  </si>
  <si>
    <t>key foods lime</t>
  </si>
  <si>
    <t>lucys dive bar</t>
  </si>
  <si>
    <t>ruby williamsburg</t>
  </si>
  <si>
    <t>target water</t>
  </si>
  <si>
    <t>whole foods pork meal</t>
  </si>
  <si>
    <t>biddys pub</t>
  </si>
  <si>
    <t>mc sorlies</t>
  </si>
  <si>
    <t>Flight Home</t>
  </si>
  <si>
    <t>Matt Payment for hotel wedding</t>
  </si>
  <si>
    <t>VERISON BUY OUT</t>
  </si>
  <si>
    <t>claude</t>
  </si>
  <si>
    <t>Credit Card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</si>
</sst>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M/d/yyyy"/>
    <numFmt numFmtId="166" formatCode="$#,##0.00"/>
    <numFmt numFmtId="167" formatCode="m/d/yy"/>
    <numFmt numFmtId="168" formatCode="mm/dd/yyyy"/>
    <numFmt numFmtId="169" formatCode="&quot;$&quot;#,##0.00"/>
    <numFmt numFmtId="170" formatCode="mmmm d, yyyy"/>
  </numFmts>
  <fonts count="1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rgb="FFFFFFFF"/>
      <name val="Arial"/>
    </font>
    <font>
      <i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b/>
      <i/>
      <color theme="1"/>
      <name val="Arial"/>
    </font>
    <font>
      <color theme="1"/>
      <name val="Arial"/>
      <scheme val="minor"/>
    </font>
    <font>
      <i/>
      <sz val="9.0"/>
      <color rgb="FF666666"/>
      <name val="Arial"/>
    </font>
    <font>
      <color rgb="FF000000"/>
      <name val="Helvetica Neue"/>
    </font>
    <font>
      <color rgb="FF00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2" fontId="3" numFmtId="0" xfId="0" applyAlignment="1" applyFill="1" applyFont="1">
      <alignment horizontal="center" shrinkToFit="0" vertical="center" wrapText="0"/>
    </xf>
    <xf borderId="0" fillId="0" fontId="4" numFmtId="0" xfId="0" applyFont="1"/>
    <xf borderId="0" fillId="0" fontId="4" numFmtId="164" xfId="0" applyFont="1" applyNumberFormat="1"/>
    <xf borderId="0" fillId="3" fontId="5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right"/>
    </xf>
    <xf borderId="0" fillId="0" fontId="2" numFmtId="165" xfId="0" applyFont="1" applyNumberFormat="1"/>
    <xf borderId="0" fillId="0" fontId="6" numFmtId="0" xfId="0" applyAlignment="1" applyFont="1">
      <alignment shrinkToFit="0" vertical="center" wrapText="0"/>
    </xf>
    <xf borderId="0" fillId="0" fontId="6" numFmtId="166" xfId="0" applyAlignment="1" applyFont="1" applyNumberFormat="1">
      <alignment shrinkToFit="0" vertical="center" wrapText="0"/>
    </xf>
    <xf borderId="0" fillId="0" fontId="7" numFmtId="0" xfId="0" applyAlignment="1" applyFont="1">
      <alignment vertical="center"/>
    </xf>
    <xf borderId="0" fillId="0" fontId="2" numFmtId="165" xfId="0" applyAlignment="1" applyFont="1" applyNumberFormat="1">
      <alignment horizontal="right"/>
    </xf>
    <xf borderId="1" fillId="0" fontId="7" numFmtId="0" xfId="0" applyBorder="1" applyFont="1"/>
    <xf borderId="1" fillId="0" fontId="7" numFmtId="164" xfId="0" applyBorder="1" applyFont="1" applyNumberFormat="1"/>
    <xf borderId="0" fillId="0" fontId="7" numFmtId="0" xfId="0" applyFont="1"/>
    <xf borderId="0" fillId="0" fontId="3" numFmtId="0" xfId="0" applyAlignment="1" applyFont="1">
      <alignment horizontal="center" shrinkToFit="0" vertical="center" wrapText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8" numFmtId="0" xfId="0" applyAlignment="1" applyFont="1">
      <alignment vertical="bottom"/>
    </xf>
    <xf borderId="0" fillId="0" fontId="2" numFmtId="3" xfId="0" applyFont="1" applyNumberFormat="1"/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vertical="top"/>
    </xf>
    <xf borderId="0" fillId="0" fontId="12" numFmtId="164" xfId="0" applyAlignment="1" applyFont="1" applyNumberFormat="1">
      <alignment vertical="top"/>
    </xf>
    <xf borderId="0" fillId="0" fontId="2" numFmtId="3" xfId="0" applyAlignment="1" applyFont="1" applyNumberFormat="1">
      <alignment readingOrder="0"/>
    </xf>
    <xf borderId="0" fillId="0" fontId="9" numFmtId="0" xfId="0" applyFont="1"/>
    <xf borderId="0" fillId="0" fontId="9" numFmtId="3" xfId="0" applyFont="1" applyNumberFormat="1"/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8" numFmtId="0" xfId="0" applyAlignment="1" applyFont="1">
      <alignment readingOrder="0"/>
    </xf>
    <xf borderId="0" fillId="4" fontId="7" numFmtId="0" xfId="0" applyFill="1" applyFont="1"/>
    <xf borderId="0" fillId="4" fontId="7" numFmtId="164" xfId="0" applyFont="1" applyNumberFormat="1"/>
    <xf borderId="0" fillId="0" fontId="7" numFmtId="0" xfId="0" applyAlignment="1" applyFont="1">
      <alignment horizontal="left"/>
    </xf>
    <xf borderId="0" fillId="0" fontId="7" numFmtId="10" xfId="0" applyFont="1" applyNumberFormat="1"/>
    <xf borderId="0" fillId="0" fontId="14" numFmtId="0" xfId="0" applyAlignment="1" applyFont="1">
      <alignment shrinkToFit="0" vertical="bottom" wrapText="0"/>
    </xf>
    <xf borderId="0" fillId="0" fontId="7" numFmtId="164" xfId="0" applyFont="1" applyNumberFormat="1"/>
    <xf borderId="0" fillId="0" fontId="15" numFmtId="0" xfId="0" applyAlignment="1" applyFont="1">
      <alignment readingOrder="0"/>
    </xf>
    <xf borderId="0" fillId="0" fontId="9" numFmtId="166" xfId="0" applyFont="1" applyNumberFormat="1"/>
    <xf borderId="0" fillId="0" fontId="14" numFmtId="0" xfId="0" applyAlignment="1" applyFont="1">
      <alignment readingOrder="0" shrinkToFit="0" vertical="bottom" wrapText="0"/>
    </xf>
    <xf borderId="0" fillId="0" fontId="2" numFmtId="167" xfId="0" applyAlignment="1" applyFont="1" applyNumberFormat="1">
      <alignment horizontal="right"/>
    </xf>
    <xf borderId="0" fillId="0" fontId="2" numFmtId="0" xfId="0" applyFont="1"/>
    <xf borderId="0" fillId="0" fontId="2" numFmtId="165" xfId="0" applyAlignment="1" applyFont="1" applyNumberFormat="1">
      <alignment horizontal="right" readingOrder="0"/>
    </xf>
    <xf borderId="0" fillId="0" fontId="11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7" numFmtId="168" xfId="0" applyAlignment="1" applyFont="1" applyNumberFormat="1">
      <alignment horizontal="center"/>
    </xf>
    <xf borderId="0" fillId="0" fontId="2" numFmtId="169" xfId="0" applyFont="1" applyNumberFormat="1"/>
    <xf borderId="0" fillId="0" fontId="16" numFmtId="0" xfId="0" applyAlignment="1" applyFont="1">
      <alignment vertical="top"/>
    </xf>
    <xf borderId="0" fillId="0" fontId="7" numFmtId="170" xfId="0" applyAlignment="1" applyFont="1" applyNumberFormat="1">
      <alignment horizontal="center"/>
    </xf>
    <xf borderId="0" fillId="0" fontId="16" numFmtId="0" xfId="0" applyAlignment="1" applyFont="1">
      <alignment readingOrder="0" vertical="top"/>
    </xf>
    <xf borderId="0" fillId="0" fontId="12" numFmtId="164" xfId="0" applyAlignment="1" applyFont="1" applyNumberFormat="1">
      <alignment readingOrder="0" vertical="top"/>
    </xf>
    <xf borderId="0" fillId="0" fontId="16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3" width="12.63"/>
    <col customWidth="1" min="4" max="4" width="19.5"/>
    <col customWidth="1" min="5" max="5" width="5.63"/>
    <col customWidth="1" min="6" max="6" width="22.88"/>
    <col customWidth="1" min="7" max="7" width="17.38"/>
    <col customWidth="1" min="8" max="8" width="14.88"/>
    <col customWidth="1" min="10" max="10" width="11.38"/>
    <col customWidth="1" min="11" max="11" width="19.5"/>
    <col customWidth="1" min="12" max="12" width="12.75"/>
    <col customWidth="1" min="14" max="14" width="16.63"/>
    <col customWidth="1" min="16" max="16" width="28.0"/>
    <col customWidth="1" min="17" max="17" width="16.0"/>
    <col customWidth="1" min="18" max="18" width="12.0"/>
    <col customWidth="1" min="19" max="19" width="18.0"/>
    <col customWidth="1" min="20" max="20" width="4.0"/>
    <col customWidth="1" min="21" max="21" width="28.0"/>
    <col customWidth="1" min="22" max="22" width="16.0"/>
    <col customWidth="1" min="23" max="23" width="12.0"/>
    <col customWidth="1" min="24" max="24" width="18.0"/>
  </cols>
  <sheetData>
    <row r="1" ht="21.75" customHeight="1">
      <c r="A1" s="1" t="s">
        <v>0</v>
      </c>
      <c r="B1" s="2"/>
      <c r="F1" s="1" t="s">
        <v>1</v>
      </c>
      <c r="J1" s="1"/>
      <c r="P1" s="3" t="s">
        <v>2</v>
      </c>
      <c r="U1" s="3" t="s">
        <v>3</v>
      </c>
    </row>
    <row r="2" ht="15.75" customHeight="1">
      <c r="A2" s="4" t="s">
        <v>4</v>
      </c>
      <c r="B2" s="5" t="s">
        <v>5</v>
      </c>
      <c r="C2" s="4" t="s">
        <v>6</v>
      </c>
      <c r="D2" s="4" t="s">
        <v>7</v>
      </c>
      <c r="F2" s="4" t="s">
        <v>4</v>
      </c>
      <c r="G2" s="5" t="s">
        <v>5</v>
      </c>
      <c r="H2" s="4" t="s">
        <v>6</v>
      </c>
      <c r="P2" s="6" t="s">
        <v>8</v>
      </c>
      <c r="Q2" s="6" t="s">
        <v>9</v>
      </c>
      <c r="R2" s="6" t="s">
        <v>5</v>
      </c>
      <c r="S2" s="6" t="s">
        <v>10</v>
      </c>
      <c r="U2" s="6" t="s">
        <v>8</v>
      </c>
      <c r="V2" s="6" t="s">
        <v>9</v>
      </c>
      <c r="W2" s="6" t="s">
        <v>5</v>
      </c>
      <c r="X2" s="6" t="s">
        <v>10</v>
      </c>
    </row>
    <row r="3" ht="15.75" customHeight="1">
      <c r="A3" s="7" t="s">
        <v>11</v>
      </c>
      <c r="B3" s="2">
        <v>3696.46</v>
      </c>
      <c r="C3" s="8">
        <v>45784.0</v>
      </c>
      <c r="F3" s="7" t="s">
        <v>11</v>
      </c>
      <c r="G3" s="2">
        <v>3696.46</v>
      </c>
      <c r="H3" s="8"/>
      <c r="P3" s="9" t="str">
        <f>IFERROR(__xludf.DUMMYFUNCTION("ARRAY_CONSTRAIN(ARRAYFORMULA(IFERROR(INDEX(SORT(FILTER({$F$18:$F$984,$H$18:$H$984,$I$18:$I$984,$K$18:$K$984}, (($H$18:$H$984=""Eating out"")+($H$18:$H$984=""Groceries""))*($I$18:$I$984&gt;0)), 3, FALSE), ROWS($P$3:P3), 1), """")), 10, 1)"),"TST*MOMOFUKU NOODLE BAR")</f>
        <v>TST*MOMOFUKU NOODLE BAR</v>
      </c>
      <c r="Q3" s="9" t="str">
        <f>IFERROR(__xludf.DUMMYFUNCTION("IFERROR(INDEX(SORT(FILTER({$F$18:$F$984,$H$18:$H$984,$I$18:$I$984,$K$18:$K$984}, (($H$18:$H$984=""Eating out"")+($H$18:$H$984=""Groceries""))*($I$18:$I$984&gt;0)), 3, FALSE), ROWS($P$3:P3), 2), """")"),"Eating out")</f>
        <v>Eating out</v>
      </c>
      <c r="R3" s="10">
        <f>IFERROR(__xludf.DUMMYFUNCTION("IFERROR(INDEX(SORT(FILTER({$F$18:$F$984,$H$18:$H$984,$I$18:$I$984,$K$18:$K$984}, (($H$18:$H$984=""Eating out"")+($H$18:$H$984=""Groceries""))*($I$18:$I$984&gt;0)), 3, FALSE), ROWS($P$3:P3), 3), """")"),100.0)</f>
        <v>100</v>
      </c>
      <c r="S3" s="9" t="str">
        <f>IFERROR(__xludf.DUMMYFUNCTION("IFERROR(INDEX(SORT(FILTER({$F$18:$F$984,$H$18:$H$984,$I$18:$I$984,$K$18:$K$984}, (($H$18:$H$984=""Eating out"")+($H$18:$H$984=""Groceries""))*($I$18:$I$984&gt;0)), 3, FALSE), ROWS($P$3:P3), 4), """")"),"Reserve - Chase")</f>
        <v>Reserve - Chase</v>
      </c>
      <c r="U3" s="9" t="str">
        <f>IFERROR(__xludf.DUMMYFUNCTION("ARRAY_CONSTRAIN(ARRAYFORMULA(IFERROR(INDEX(SORT(FILTER({$F$18:$F$984,$H$18:$H$984,$I$18:$I$984,$K$18:$K$984}, ($H$18:$H$984=""Coffee/ drinks"")*($I$18:$I$984&gt;0)), 3, FALSE), ROWS($U$3:U3), 1), """")), 10, 1)"),"SQ *B LOUNGE NYC")</f>
        <v>SQ *B LOUNGE NYC</v>
      </c>
      <c r="V3" s="9" t="str">
        <f>IFERROR(__xludf.DUMMYFUNCTION("IFERROR(INDEX(SORT(FILTER({$F$18:$F$984,$H$18:$H$984,$I$18:$I$984,$K$18:$K$984}, ($H$18:$H$984=""Coffee/ drinks"")*($I$18:$I$984&gt;0)), 3, FALSE), ROWS($U$3:U3), 2), """")"),"Coffee/ drinks")</f>
        <v>Coffee/ drinks</v>
      </c>
      <c r="W3" s="10">
        <f>IFERROR(__xludf.DUMMYFUNCTION("IFERROR(INDEX(SORT(FILTER({$F$18:$F$984,$H$18:$H$984,$I$18:$I$984,$K$18:$K$984}, ($H$18:$H$984=""Coffee/ drinks"")*($I$18:$I$984&gt;0)), 3, FALSE), ROWS($U$3:U3), 3), """")"),110.02)</f>
        <v>110.02</v>
      </c>
      <c r="X3" s="9" t="str">
        <f>IFERROR(__xludf.DUMMYFUNCTION("IFERROR(INDEX(SORT(FILTER({$F$18:$F$984,$H$18:$H$984,$I$18:$I$984,$K$18:$K$984}, ($H$18:$H$984=""Coffee/ drinks"")*($I$18:$I$984&gt;0)), 3, FALSE), ROWS($U$3:U3), 4), """")"),"Preferred- Chase")</f>
        <v>Preferred- Chase</v>
      </c>
    </row>
    <row r="4" ht="15.75" customHeight="1">
      <c r="A4" s="7" t="s">
        <v>12</v>
      </c>
      <c r="B4" s="2">
        <v>3696.46</v>
      </c>
      <c r="C4" s="8">
        <v>45798.0</v>
      </c>
      <c r="F4" s="7" t="s">
        <v>12</v>
      </c>
      <c r="G4" s="2">
        <v>3696.46</v>
      </c>
      <c r="H4" s="8"/>
      <c r="P4" s="9" t="str">
        <f>IFERROR(__xludf.DUMMYFUNCTION("IFERROR(INDEX(SORT(FILTER({$F$18:$F$984,$H$18:$H$984,$I$18:$I$984,$K$18:$K$984}, (($H$18:$H$984=""Eating out"")+($H$18:$H$984=""Groceries""))*($I$18:$I$984&gt;0)), 3, FALSE), ROWS($P$3:P4), 1), """")"),"TST*SCARRS PIZZA")</f>
        <v>TST*SCARRS PIZZA</v>
      </c>
      <c r="Q4" s="9" t="str">
        <f>IFERROR(__xludf.DUMMYFUNCTION("IFERROR(INDEX(SORT(FILTER({$F$18:$F$984,$H$18:$H$984,$I$18:$I$984,$K$18:$K$984}, (($H$18:$H$984=""Eating out"")+($H$18:$H$984=""Groceries""))*($I$18:$I$984&gt;0)), 3, FALSE), ROWS($P$3:P4), 2), """")"),"Eating out")</f>
        <v>Eating out</v>
      </c>
      <c r="R4" s="10">
        <f>IFERROR(__xludf.DUMMYFUNCTION("IFERROR(INDEX(SORT(FILTER({$F$18:$F$984,$H$18:$H$984,$I$18:$I$984,$K$18:$K$984}, (($H$18:$H$984=""Eating out"")+($H$18:$H$984=""Groceries""))*($I$18:$I$984&gt;0)), 3, FALSE), ROWS($P$3:P4), 3), """")"),85.06)</f>
        <v>85.06</v>
      </c>
      <c r="S4" s="9" t="str">
        <f>IFERROR(__xludf.DUMMYFUNCTION("IFERROR(INDEX(SORT(FILTER({$F$18:$F$984,$H$18:$H$984,$I$18:$I$984,$K$18:$K$984}, (($H$18:$H$984=""Eating out"")+($H$18:$H$984=""Groceries""))*($I$18:$I$984&gt;0)), 3, FALSE), ROWS($P$3:P4), 4), """")"),"Reserve - Chase")</f>
        <v>Reserve - Chase</v>
      </c>
      <c r="U4" s="9" t="str">
        <f>IFERROR(__xludf.DUMMYFUNCTION("IFERROR(INDEX(SORT(FILTER({$F$18:$F$984,$H$18:$H$984,$I$18:$I$984,$K$18:$K$984}, ($H$18:$H$984=""Coffee/ drinks"")*($I$18:$I$984&gt;0)), 3, FALSE), ROWS($U$3:U4), 1), """")"),"SQ *B LOUNGE NYC")</f>
        <v>SQ *B LOUNGE NYC</v>
      </c>
      <c r="V4" s="9" t="str">
        <f>IFERROR(__xludf.DUMMYFUNCTION("IFERROR(INDEX(SORT(FILTER({$F$18:$F$984,$H$18:$H$984,$I$18:$I$984,$K$18:$K$984}, ($H$18:$H$984=""Coffee/ drinks"")*($I$18:$I$984&gt;0)), 3, FALSE), ROWS($U$3:U4), 2), """")"),"Coffee/ drinks")</f>
        <v>Coffee/ drinks</v>
      </c>
      <c r="W4" s="10">
        <f>IFERROR(__xludf.DUMMYFUNCTION("IFERROR(INDEX(SORT(FILTER({$F$18:$F$984,$H$18:$H$984,$I$18:$I$984,$K$18:$K$984}, ($H$18:$H$984=""Coffee/ drinks"")*($I$18:$I$984&gt;0)), 3, FALSE), ROWS($U$3:U4), 3), """")"),73.31)</f>
        <v>73.31</v>
      </c>
      <c r="X4" s="9" t="str">
        <f>IFERROR(__xludf.DUMMYFUNCTION("IFERROR(INDEX(SORT(FILTER({$F$18:$F$984,$H$18:$H$984,$I$18:$I$984,$K$18:$K$984}, ($H$18:$H$984=""Coffee/ drinks"")*($I$18:$I$984&gt;0)), 3, FALSE), ROWS($U$3:U4), 4), """")"),"Reserve - Chase")</f>
        <v>Reserve - Chase</v>
      </c>
    </row>
    <row r="5" ht="15.75" customHeight="1">
      <c r="A5" s="7" t="s">
        <v>13</v>
      </c>
      <c r="B5" s="2">
        <v>0.0</v>
      </c>
      <c r="C5" s="8">
        <v>45784.0</v>
      </c>
      <c r="F5" s="7" t="s">
        <v>13</v>
      </c>
      <c r="G5" s="2">
        <v>0.0</v>
      </c>
      <c r="H5" s="8"/>
      <c r="P5" s="9" t="str">
        <f>IFERROR(__xludf.DUMMYFUNCTION("IFERROR(INDEX(SORT(FILTER({$F$18:$F$984,$H$18:$H$984,$I$18:$I$984,$K$18:$K$984}, (($H$18:$H$984=""Eating out"")+($H$18:$H$984=""Groceries""))*($I$18:$I$984&gt;0)), 3, FALSE), ROWS($P$3:P5), 1), """")"),"WHOLEFDS UES #10518")</f>
        <v>WHOLEFDS UES #10518</v>
      </c>
      <c r="Q5" s="9" t="str">
        <f>IFERROR(__xludf.DUMMYFUNCTION("IFERROR(INDEX(SORT(FILTER({$F$18:$F$984,$H$18:$H$984,$I$18:$I$984,$K$18:$K$984}, (($H$18:$H$984=""Eating out"")+($H$18:$H$984=""Groceries""))*($I$18:$I$984&gt;0)), 3, FALSE), ROWS($P$3:P5), 2), """")"),"Groceries")</f>
        <v>Groceries</v>
      </c>
      <c r="R5" s="10">
        <f>IFERROR(__xludf.DUMMYFUNCTION("IFERROR(INDEX(SORT(FILTER({$F$18:$F$984,$H$18:$H$984,$I$18:$I$984,$K$18:$K$984}, (($H$18:$H$984=""Eating out"")+($H$18:$H$984=""Groceries""))*($I$18:$I$984&gt;0)), 3, FALSE), ROWS($P$3:P5), 3), """")"),84.35)</f>
        <v>84.35</v>
      </c>
      <c r="S5" s="9" t="str">
        <f>IFERROR(__xludf.DUMMYFUNCTION("IFERROR(INDEX(SORT(FILTER({$F$18:$F$984,$H$18:$H$984,$I$18:$I$984,$K$18:$K$984}, (($H$18:$H$984=""Eating out"")+($H$18:$H$984=""Groceries""))*($I$18:$I$984&gt;0)), 3, FALSE), ROWS($P$3:P5), 4), """")"),"Reserve - Chase")</f>
        <v>Reserve - Chase</v>
      </c>
      <c r="U5" s="9" t="str">
        <f>IFERROR(__xludf.DUMMYFUNCTION("IFERROR(INDEX(SORT(FILTER({$F$18:$F$984,$H$18:$H$984,$I$18:$I$984,$K$18:$K$984}, ($H$18:$H$984=""Coffee/ drinks"")*($I$18:$I$984&gt;0)), 3, FALSE), ROWS($U$3:U5), 1), """")"),"SQ *B LOUNGE NYC")</f>
        <v>SQ *B LOUNGE NYC</v>
      </c>
      <c r="V5" s="9" t="str">
        <f>IFERROR(__xludf.DUMMYFUNCTION("IFERROR(INDEX(SORT(FILTER({$F$18:$F$984,$H$18:$H$984,$I$18:$I$984,$K$18:$K$984}, ($H$18:$H$984=""Coffee/ drinks"")*($I$18:$I$984&gt;0)), 3, FALSE), ROWS($U$3:U5), 2), """")"),"Coffee/ drinks")</f>
        <v>Coffee/ drinks</v>
      </c>
      <c r="W5" s="10">
        <f>IFERROR(__xludf.DUMMYFUNCTION("IFERROR(INDEX(SORT(FILTER({$F$18:$F$984,$H$18:$H$984,$I$18:$I$984,$K$18:$K$984}, ($H$18:$H$984=""Coffee/ drinks"")*($I$18:$I$984&gt;0)), 3, FALSE), ROWS($U$3:U5), 3), """")"),58.9)</f>
        <v>58.9</v>
      </c>
      <c r="X5" s="9" t="str">
        <f>IFERROR(__xludf.DUMMYFUNCTION("IFERROR(INDEX(SORT(FILTER({$F$18:$F$984,$H$18:$H$984,$I$18:$I$984,$K$18:$K$984}, ($H$18:$H$984=""Coffee/ drinks"")*($I$18:$I$984&gt;0)), 3, FALSE), ROWS($U$3:U5), 4), """")"),"Preferred- Chase")</f>
        <v>Preferred- Chase</v>
      </c>
    </row>
    <row r="6" ht="15.75" customHeight="1">
      <c r="A6" s="7" t="s">
        <v>14</v>
      </c>
      <c r="B6" s="2">
        <v>0.0</v>
      </c>
      <c r="C6" s="8">
        <v>45798.0</v>
      </c>
      <c r="F6" s="7" t="s">
        <v>14</v>
      </c>
      <c r="G6" s="2">
        <v>0.0</v>
      </c>
      <c r="H6" s="8"/>
      <c r="P6" s="9" t="str">
        <f>IFERROR(__xludf.DUMMYFUNCTION("IFERROR(INDEX(SORT(FILTER({$F$18:$F$984,$H$18:$H$984,$I$18:$I$984,$K$18:$K$984}, (($H$18:$H$984=""Eating out"")+($H$18:$H$984=""Groceries""))*($I$18:$I$984&gt;0)), 3, FALSE), ROWS($P$3:P6), 1), """")"),"EL SANTO TAQUERIA")</f>
        <v>EL SANTO TAQUERIA</v>
      </c>
      <c r="Q6" s="9" t="str">
        <f>IFERROR(__xludf.DUMMYFUNCTION("IFERROR(INDEX(SORT(FILTER({$F$18:$F$984,$H$18:$H$984,$I$18:$I$984,$K$18:$K$984}, (($H$18:$H$984=""Eating out"")+($H$18:$H$984=""Groceries""))*($I$18:$I$984&gt;0)), 3, FALSE), ROWS($P$3:P6), 2), """")"),"Eating out")</f>
        <v>Eating out</v>
      </c>
      <c r="R6" s="10">
        <f>IFERROR(__xludf.DUMMYFUNCTION("IFERROR(INDEX(SORT(FILTER({$F$18:$F$984,$H$18:$H$984,$I$18:$I$984,$K$18:$K$984}, (($H$18:$H$984=""Eating out"")+($H$18:$H$984=""Groceries""))*($I$18:$I$984&gt;0)), 3, FALSE), ROWS($P$3:P6), 3), """")"),72.55)</f>
        <v>72.55</v>
      </c>
      <c r="S6" s="9" t="str">
        <f>IFERROR(__xludf.DUMMYFUNCTION("IFERROR(INDEX(SORT(FILTER({$F$18:$F$984,$H$18:$H$984,$I$18:$I$984,$K$18:$K$984}, (($H$18:$H$984=""Eating out"")+($H$18:$H$984=""Groceries""))*($I$18:$I$984&gt;0)), 3, FALSE), ROWS($P$3:P6), 4), """")"),"Reserve - Chase")</f>
        <v>Reserve - Chase</v>
      </c>
      <c r="U6" s="9" t="str">
        <f>IFERROR(__xludf.DUMMYFUNCTION("IFERROR(INDEX(SORT(FILTER({$F$18:$F$984,$H$18:$H$984,$I$18:$I$984,$K$18:$K$984}, ($H$18:$H$984=""Coffee/ drinks"")*($I$18:$I$984&gt;0)), 3, FALSE), ROWS($U$3:U6), 1), """")"),"SQ *STEIGHT")</f>
        <v>SQ *STEIGHT</v>
      </c>
      <c r="V6" s="9" t="str">
        <f>IFERROR(__xludf.DUMMYFUNCTION("IFERROR(INDEX(SORT(FILTER({$F$18:$F$984,$H$18:$H$984,$I$18:$I$984,$K$18:$K$984}, ($H$18:$H$984=""Coffee/ drinks"")*($I$18:$I$984&gt;0)), 3, FALSE), ROWS($U$3:U6), 2), """")"),"Coffee/ drinks")</f>
        <v>Coffee/ drinks</v>
      </c>
      <c r="W6" s="10">
        <f>IFERROR(__xludf.DUMMYFUNCTION("IFERROR(INDEX(SORT(FILTER({$F$18:$F$984,$H$18:$H$984,$I$18:$I$984,$K$18:$K$984}, ($H$18:$H$984=""Coffee/ drinks"")*($I$18:$I$984&gt;0)), 3, FALSE), ROWS($U$3:U6), 3), """")"),56.18)</f>
        <v>56.18</v>
      </c>
      <c r="X6" s="9" t="str">
        <f>IFERROR(__xludf.DUMMYFUNCTION("IFERROR(INDEX(SORT(FILTER({$F$18:$F$984,$H$18:$H$984,$I$18:$I$984,$K$18:$K$984}, ($H$18:$H$984=""Coffee/ drinks"")*($I$18:$I$984&gt;0)), 3, FALSE), ROWS($U$3:U6), 4), """")"),"Reserve - Chase")</f>
        <v>Reserve - Chase</v>
      </c>
    </row>
    <row r="7" ht="15.75" customHeight="1">
      <c r="A7" s="7" t="s">
        <v>15</v>
      </c>
      <c r="B7" s="2"/>
      <c r="C7" s="8">
        <v>45808.0</v>
      </c>
      <c r="D7" s="11"/>
      <c r="F7" s="7" t="s">
        <v>15</v>
      </c>
      <c r="G7" s="2">
        <v>0.0</v>
      </c>
      <c r="H7" s="8"/>
      <c r="P7" s="9" t="str">
        <f>IFERROR(__xludf.DUMMYFUNCTION("IFERROR(INDEX(SORT(FILTER({$F$18:$F$984,$H$18:$H$984,$I$18:$I$984,$K$18:$K$984}, (($H$18:$H$984=""Eating out"")+($H$18:$H$984=""Groceries""))*($I$18:$I$984&gt;0)), 3, FALSE), ROWS($P$3:P7), 1), """")"),"TARGET 00033878")</f>
        <v>TARGET 00033878</v>
      </c>
      <c r="Q7" s="9" t="str">
        <f>IFERROR(__xludf.DUMMYFUNCTION("IFERROR(INDEX(SORT(FILTER({$F$18:$F$984,$H$18:$H$984,$I$18:$I$984,$K$18:$K$984}, (($H$18:$H$984=""Eating out"")+($H$18:$H$984=""Groceries""))*($I$18:$I$984&gt;0)), 3, FALSE), ROWS($P$3:P7), 2), """")"),"Groceries")</f>
        <v>Groceries</v>
      </c>
      <c r="R7" s="10">
        <f>IFERROR(__xludf.DUMMYFUNCTION("IFERROR(INDEX(SORT(FILTER({$F$18:$F$984,$H$18:$H$984,$I$18:$I$984,$K$18:$K$984}, (($H$18:$H$984=""Eating out"")+($H$18:$H$984=""Groceries""))*($I$18:$I$984&gt;0)), 3, FALSE), ROWS($P$3:P7), 3), """")"),67.65)</f>
        <v>67.65</v>
      </c>
      <c r="S7" s="9" t="str">
        <f>IFERROR(__xludf.DUMMYFUNCTION("IFERROR(INDEX(SORT(FILTER({$F$18:$F$984,$H$18:$H$984,$I$18:$I$984,$K$18:$K$984}, (($H$18:$H$984=""Eating out"")+($H$18:$H$984=""Groceries""))*($I$18:$I$984&gt;0)), 3, FALSE), ROWS($P$3:P7), 4), """")"),"Reserve - Chase")</f>
        <v>Reserve - Chase</v>
      </c>
      <c r="U7" s="9" t="str">
        <f>IFERROR(__xludf.DUMMYFUNCTION("IFERROR(INDEX(SORT(FILTER({$F$18:$F$984,$H$18:$H$984,$I$18:$I$984,$K$18:$K$984}, ($H$18:$H$984=""Coffee/ drinks"")*($I$18:$I$984&gt;0)), 3, FALSE), ROWS($U$3:U7), 1), """")"),"biddys pub")</f>
        <v>biddys pub</v>
      </c>
      <c r="V7" s="9" t="str">
        <f>IFERROR(__xludf.DUMMYFUNCTION("IFERROR(INDEX(SORT(FILTER({$F$18:$F$984,$H$18:$H$984,$I$18:$I$984,$K$18:$K$984}, ($H$18:$H$984=""Coffee/ drinks"")*($I$18:$I$984&gt;0)), 3, FALSE), ROWS($U$3:U7), 2), """")"),"Coffee/ drinks")</f>
        <v>Coffee/ drinks</v>
      </c>
      <c r="W7" s="10">
        <f>IFERROR(__xludf.DUMMYFUNCTION("IFERROR(INDEX(SORT(FILTER({$F$18:$F$984,$H$18:$H$984,$I$18:$I$984,$K$18:$K$984}, ($H$18:$H$984=""Coffee/ drinks"")*($I$18:$I$984&gt;0)), 3, FALSE), ROWS($U$3:U7), 3), """")"),46.0)</f>
        <v>46</v>
      </c>
      <c r="X7" s="9" t="str">
        <f>IFERROR(__xludf.DUMMYFUNCTION("IFERROR(INDEX(SORT(FILTER({$F$18:$F$984,$H$18:$H$984,$I$18:$I$984,$K$18:$K$984}, ($H$18:$H$984=""Coffee/ drinks"")*($I$18:$I$984&gt;0)), 3, FALSE), ROWS($U$3:U7), 4), """")"),"")</f>
        <v/>
      </c>
    </row>
    <row r="8" ht="15.75" customHeight="1">
      <c r="A8" s="7" t="s">
        <v>16</v>
      </c>
      <c r="B8" s="2"/>
      <c r="C8" s="8">
        <v>45808.0</v>
      </c>
      <c r="F8" s="7" t="s">
        <v>16</v>
      </c>
      <c r="G8" s="2">
        <v>0.0</v>
      </c>
      <c r="H8" s="12"/>
      <c r="P8" s="9" t="str">
        <f>IFERROR(__xludf.DUMMYFUNCTION("IFERROR(INDEX(SORT(FILTER({$F$18:$F$984,$H$18:$H$984,$I$18:$I$984,$K$18:$K$984}, (($H$18:$H$984=""Eating out"")+($H$18:$H$984=""Groceries""))*($I$18:$I$984&gt;0)), 3, FALSE), ROWS($P$3:P8), 1), """")"),"WHOLEFDS UES #10518")</f>
        <v>WHOLEFDS UES #10518</v>
      </c>
      <c r="Q8" s="9" t="str">
        <f>IFERROR(__xludf.DUMMYFUNCTION("IFERROR(INDEX(SORT(FILTER({$F$18:$F$984,$H$18:$H$984,$I$18:$I$984,$K$18:$K$984}, (($H$18:$H$984=""Eating out"")+($H$18:$H$984=""Groceries""))*($I$18:$I$984&gt;0)), 3, FALSE), ROWS($P$3:P8), 2), """")"),"Groceries")</f>
        <v>Groceries</v>
      </c>
      <c r="R8" s="10">
        <f>IFERROR(__xludf.DUMMYFUNCTION("IFERROR(INDEX(SORT(FILTER({$F$18:$F$984,$H$18:$H$984,$I$18:$I$984,$K$18:$K$984}, (($H$18:$H$984=""Eating out"")+($H$18:$H$984=""Groceries""))*($I$18:$I$984&gt;0)), 3, FALSE), ROWS($P$3:P8), 3), """")"),62.48)</f>
        <v>62.48</v>
      </c>
      <c r="S8" s="9" t="str">
        <f>IFERROR(__xludf.DUMMYFUNCTION("IFERROR(INDEX(SORT(FILTER({$F$18:$F$984,$H$18:$H$984,$I$18:$I$984,$K$18:$K$984}, (($H$18:$H$984=""Eating out"")+($H$18:$H$984=""Groceries""))*($I$18:$I$984&gt;0)), 3, FALSE), ROWS($P$3:P8), 4), """")"),"Reserve - Chase")</f>
        <v>Reserve - Chase</v>
      </c>
      <c r="U8" s="9" t="str">
        <f>IFERROR(__xludf.DUMMYFUNCTION("IFERROR(INDEX(SORT(FILTER({$F$18:$F$984,$H$18:$H$984,$I$18:$I$984,$K$18:$K$984}, ($H$18:$H$984=""Coffee/ drinks"")*($I$18:$I$984&gt;0)), 3, FALSE), ROWS($U$3:U8), 1), """")"),"SQ *B LOUNGE NYC")</f>
        <v>SQ *B LOUNGE NYC</v>
      </c>
      <c r="V8" s="9" t="str">
        <f>IFERROR(__xludf.DUMMYFUNCTION("IFERROR(INDEX(SORT(FILTER({$F$18:$F$984,$H$18:$H$984,$I$18:$I$984,$K$18:$K$984}, ($H$18:$H$984=""Coffee/ drinks"")*($I$18:$I$984&gt;0)), 3, FALSE), ROWS($U$3:U8), 2), """")"),"Coffee/ drinks")</f>
        <v>Coffee/ drinks</v>
      </c>
      <c r="W8" s="10">
        <f>IFERROR(__xludf.DUMMYFUNCTION("IFERROR(INDEX(SORT(FILTER({$F$18:$F$984,$H$18:$H$984,$I$18:$I$984,$K$18:$K$984}, ($H$18:$H$984=""Coffee/ drinks"")*($I$18:$I$984&gt;0)), 3, FALSE), ROWS($U$3:U8), 3), """")"),45.48)</f>
        <v>45.48</v>
      </c>
      <c r="X8" s="9" t="str">
        <f>IFERROR(__xludf.DUMMYFUNCTION("IFERROR(INDEX(SORT(FILTER({$F$18:$F$984,$H$18:$H$984,$I$18:$I$984,$K$18:$K$984}, ($H$18:$H$984=""Coffee/ drinks"")*($I$18:$I$984&gt;0)), 3, FALSE), ROWS($U$3:U8), 4), """")"),"Preferred- Chase")</f>
        <v>Preferred- Chase</v>
      </c>
    </row>
    <row r="9" ht="15.75" customHeight="1">
      <c r="A9" s="7" t="s">
        <v>17</v>
      </c>
      <c r="B9" s="2"/>
      <c r="C9" s="8">
        <v>45808.0</v>
      </c>
      <c r="F9" s="7" t="s">
        <v>17</v>
      </c>
      <c r="G9" s="2">
        <v>0.0</v>
      </c>
      <c r="H9" s="12"/>
      <c r="P9" s="9" t="str">
        <f>IFERROR(__xludf.DUMMYFUNCTION("IFERROR(INDEX(SORT(FILTER({$F$18:$F$984,$H$18:$H$984,$I$18:$I$984,$K$18:$K$984}, (($H$18:$H$984=""Eating out"")+($H$18:$H$984=""Groceries""))*($I$18:$I$984&gt;0)), 3, FALSE), ROWS($P$3:P9), 1), """")"),"WHOLEFDS UES #10518")</f>
        <v>WHOLEFDS UES #10518</v>
      </c>
      <c r="Q9" s="9" t="str">
        <f>IFERROR(__xludf.DUMMYFUNCTION("IFERROR(INDEX(SORT(FILTER({$F$18:$F$984,$H$18:$H$984,$I$18:$I$984,$K$18:$K$984}, (($H$18:$H$984=""Eating out"")+($H$18:$H$984=""Groceries""))*($I$18:$I$984&gt;0)), 3, FALSE), ROWS($P$3:P9), 2), """")"),"Groceries")</f>
        <v>Groceries</v>
      </c>
      <c r="R9" s="10">
        <f>IFERROR(__xludf.DUMMYFUNCTION("IFERROR(INDEX(SORT(FILTER({$F$18:$F$984,$H$18:$H$984,$I$18:$I$984,$K$18:$K$984}, (($H$18:$H$984=""Eating out"")+($H$18:$H$984=""Groceries""))*($I$18:$I$984&gt;0)), 3, FALSE), ROWS($P$3:P9), 3), """")"),57.85)</f>
        <v>57.85</v>
      </c>
      <c r="S9" s="9" t="str">
        <f>IFERROR(__xludf.DUMMYFUNCTION("IFERROR(INDEX(SORT(FILTER({$F$18:$F$984,$H$18:$H$984,$I$18:$I$984,$K$18:$K$984}, (($H$18:$H$984=""Eating out"")+($H$18:$H$984=""Groceries""))*($I$18:$I$984&gt;0)), 3, FALSE), ROWS($P$3:P9), 4), """")"),"Reserve - Chase")</f>
        <v>Reserve - Chase</v>
      </c>
      <c r="U9" s="9" t="str">
        <f>IFERROR(__xludf.DUMMYFUNCTION("IFERROR(INDEX(SORT(FILTER({$F$18:$F$984,$H$18:$H$984,$I$18:$I$984,$K$18:$K$984}, ($H$18:$H$984=""Coffee/ drinks"")*($I$18:$I$984&gt;0)), 3, FALSE), ROWS($U$3:U9), 1), """")"),"mc sorlies")</f>
        <v>mc sorlies</v>
      </c>
      <c r="V9" s="9" t="str">
        <f>IFERROR(__xludf.DUMMYFUNCTION("IFERROR(INDEX(SORT(FILTER({$F$18:$F$984,$H$18:$H$984,$I$18:$I$984,$K$18:$K$984}, ($H$18:$H$984=""Coffee/ drinks"")*($I$18:$I$984&gt;0)), 3, FALSE), ROWS($U$3:U9), 2), """")"),"Coffee/ drinks")</f>
        <v>Coffee/ drinks</v>
      </c>
      <c r="W9" s="10">
        <f>IFERROR(__xludf.DUMMYFUNCTION("IFERROR(INDEX(SORT(FILTER({$F$18:$F$984,$H$18:$H$984,$I$18:$I$984,$K$18:$K$984}, ($H$18:$H$984=""Coffee/ drinks"")*($I$18:$I$984&gt;0)), 3, FALSE), ROWS($U$3:U9), 3), """")"),40.0)</f>
        <v>40</v>
      </c>
      <c r="X9" s="9" t="str">
        <f>IFERROR(__xludf.DUMMYFUNCTION("IFERROR(INDEX(SORT(FILTER({$F$18:$F$984,$H$18:$H$984,$I$18:$I$984,$K$18:$K$984}, ($H$18:$H$984=""Coffee/ drinks"")*($I$18:$I$984&gt;0)), 3, FALSE), ROWS($U$3:U9), 4), """")"),"")</f>
        <v/>
      </c>
    </row>
    <row r="10" ht="15.75" customHeight="1">
      <c r="A10" s="7" t="s">
        <v>18</v>
      </c>
      <c r="B10" s="2">
        <v>0.0</v>
      </c>
      <c r="C10" s="8">
        <v>45808.0</v>
      </c>
      <c r="F10" s="7" t="s">
        <v>18</v>
      </c>
      <c r="G10" s="2">
        <v>0.0</v>
      </c>
      <c r="H10" s="8"/>
      <c r="P10" s="9" t="str">
        <f>IFERROR(__xludf.DUMMYFUNCTION("IFERROR(INDEX(SORT(FILTER({$F$18:$F$984,$H$18:$H$984,$I$18:$I$984,$K$18:$K$984}, (($H$18:$H$984=""Eating out"")+($H$18:$H$984=""Groceries""))*($I$18:$I$984&gt;0)), 3, FALSE), ROWS($P$3:P10), 1), """")"),"WHOLEFDS UES #10518")</f>
        <v>WHOLEFDS UES #10518</v>
      </c>
      <c r="Q10" s="9" t="str">
        <f>IFERROR(__xludf.DUMMYFUNCTION("IFERROR(INDEX(SORT(FILTER({$F$18:$F$984,$H$18:$H$984,$I$18:$I$984,$K$18:$K$984}, (($H$18:$H$984=""Eating out"")+($H$18:$H$984=""Groceries""))*($I$18:$I$984&gt;0)), 3, FALSE), ROWS($P$3:P10), 2), """")"),"Eating out")</f>
        <v>Eating out</v>
      </c>
      <c r="R10" s="10">
        <f>IFERROR(__xludf.DUMMYFUNCTION("IFERROR(INDEX(SORT(FILTER({$F$18:$F$984,$H$18:$H$984,$I$18:$I$984,$K$18:$K$984}, (($H$18:$H$984=""Eating out"")+($H$18:$H$984=""Groceries""))*($I$18:$I$984&gt;0)), 3, FALSE), ROWS($P$3:P10), 3), """")"),55.37)</f>
        <v>55.37</v>
      </c>
      <c r="S10" s="9" t="str">
        <f>IFERROR(__xludf.DUMMYFUNCTION("IFERROR(INDEX(SORT(FILTER({$F$18:$F$984,$H$18:$H$984,$I$18:$I$984,$K$18:$K$984}, (($H$18:$H$984=""Eating out"")+($H$18:$H$984=""Groceries""))*($I$18:$I$984&gt;0)), 3, FALSE), ROWS($P$3:P10), 4), """")"),"Reserve - Chase")</f>
        <v>Reserve - Chase</v>
      </c>
      <c r="U10" s="9" t="str">
        <f>IFERROR(__xludf.DUMMYFUNCTION("IFERROR(INDEX(SORT(FILTER({$F$18:$F$984,$H$18:$H$984,$I$18:$I$984,$K$18:$K$984}, ($H$18:$H$984=""Coffee/ drinks"")*($I$18:$I$984&gt;0)), 3, FALSE), ROWS($U$3:U10), 1), """")"),"TST*THE PENROSE")</f>
        <v>TST*THE PENROSE</v>
      </c>
      <c r="V10" s="9" t="str">
        <f>IFERROR(__xludf.DUMMYFUNCTION("IFERROR(INDEX(SORT(FILTER({$F$18:$F$984,$H$18:$H$984,$I$18:$I$984,$K$18:$K$984}, ($H$18:$H$984=""Coffee/ drinks"")*($I$18:$I$984&gt;0)), 3, FALSE), ROWS($U$3:U10), 2), """")"),"Coffee/ drinks")</f>
        <v>Coffee/ drinks</v>
      </c>
      <c r="W10" s="10">
        <f>IFERROR(__xludf.DUMMYFUNCTION("IFERROR(INDEX(SORT(FILTER({$F$18:$F$984,$H$18:$H$984,$I$18:$I$984,$K$18:$K$984}, ($H$18:$H$984=""Coffee/ drinks"")*($I$18:$I$984&gt;0)), 3, FALSE), ROWS($U$3:U10), 3), """")"),38.84)</f>
        <v>38.84</v>
      </c>
      <c r="X10" s="9" t="str">
        <f>IFERROR(__xludf.DUMMYFUNCTION("IFERROR(INDEX(SORT(FILTER({$F$18:$F$984,$H$18:$H$984,$I$18:$I$984,$K$18:$K$984}, ($H$18:$H$984=""Coffee/ drinks"")*($I$18:$I$984&gt;0)), 3, FALSE), ROWS($U$3:U10), 4), """")"),"Preferred- Chase")</f>
        <v>Preferred- Chase</v>
      </c>
    </row>
    <row r="11" ht="15.75" customHeight="1">
      <c r="A11" s="7" t="s">
        <v>19</v>
      </c>
      <c r="B11" s="2">
        <v>0.0</v>
      </c>
      <c r="C11" s="8">
        <v>45808.0</v>
      </c>
      <c r="F11" s="7" t="s">
        <v>19</v>
      </c>
      <c r="G11" s="2">
        <v>0.0</v>
      </c>
      <c r="H11" s="8"/>
      <c r="P11" s="9" t="str">
        <f>IFERROR(__xludf.DUMMYFUNCTION("IFERROR(INDEX(SORT(FILTER({$F$18:$F$984,$H$18:$H$984,$I$18:$I$984,$K$18:$K$984}, (($H$18:$H$984=""Eating out"")+($H$18:$H$984=""Groceries""))*($I$18:$I$984&gt;0)), 3, FALSE), ROWS($P$3:P11), 1), """")"),"WHOLEFDS UES #10518")</f>
        <v>WHOLEFDS UES #10518</v>
      </c>
      <c r="Q11" s="9" t="str">
        <f>IFERROR(__xludf.DUMMYFUNCTION("IFERROR(INDEX(SORT(FILTER({$F$18:$F$984,$H$18:$H$984,$I$18:$I$984,$K$18:$K$984}, (($H$18:$H$984=""Eating out"")+($H$18:$H$984=""Groceries""))*($I$18:$I$984&gt;0)), 3, FALSE), ROWS($P$3:P11), 2), """")"),"Groceries")</f>
        <v>Groceries</v>
      </c>
      <c r="R11" s="10">
        <f>IFERROR(__xludf.DUMMYFUNCTION("IFERROR(INDEX(SORT(FILTER({$F$18:$F$984,$H$18:$H$984,$I$18:$I$984,$K$18:$K$984}, (($H$18:$H$984=""Eating out"")+($H$18:$H$984=""Groceries""))*($I$18:$I$984&gt;0)), 3, FALSE), ROWS($P$3:P11), 3), """")"),43.88)</f>
        <v>43.88</v>
      </c>
      <c r="S11" s="9" t="str">
        <f>IFERROR(__xludf.DUMMYFUNCTION("IFERROR(INDEX(SORT(FILTER({$F$18:$F$984,$H$18:$H$984,$I$18:$I$984,$K$18:$K$984}, (($H$18:$H$984=""Eating out"")+($H$18:$H$984=""Groceries""))*($I$18:$I$984&gt;0)), 3, FALSE), ROWS($P$3:P11), 4), """")"),"Reserve - Chase")</f>
        <v>Reserve - Chase</v>
      </c>
      <c r="U11" s="9" t="str">
        <f>IFERROR(__xludf.DUMMYFUNCTION("IFERROR(INDEX(SORT(FILTER({$F$18:$F$984,$H$18:$H$984,$I$18:$I$984,$K$18:$K$984}, ($H$18:$H$984=""Coffee/ drinks"")*($I$18:$I$984&gt;0)), 3, FALSE), ROWS($U$3:U11), 1), """")"),"TST*THE PENROSE")</f>
        <v>TST*THE PENROSE</v>
      </c>
      <c r="V11" s="9" t="str">
        <f>IFERROR(__xludf.DUMMYFUNCTION("IFERROR(INDEX(SORT(FILTER({$F$18:$F$984,$H$18:$H$984,$I$18:$I$984,$K$18:$K$984}, ($H$18:$H$984=""Coffee/ drinks"")*($I$18:$I$984&gt;0)), 3, FALSE), ROWS($U$3:U11), 2), """")"),"Coffee/ drinks")</f>
        <v>Coffee/ drinks</v>
      </c>
      <c r="W11" s="10">
        <f>IFERROR(__xludf.DUMMYFUNCTION("IFERROR(INDEX(SORT(FILTER({$F$18:$F$984,$H$18:$H$984,$I$18:$I$984,$K$18:$K$984}, ($H$18:$H$984=""Coffee/ drinks"")*($I$18:$I$984&gt;0)), 3, FALSE), ROWS($U$3:U11), 3), """")"),30.13)</f>
        <v>30.13</v>
      </c>
      <c r="X11" s="9" t="str">
        <f>IFERROR(__xludf.DUMMYFUNCTION("IFERROR(INDEX(SORT(FILTER({$F$18:$F$984,$H$18:$H$984,$I$18:$I$984,$K$18:$K$984}, ($H$18:$H$984=""Coffee/ drinks"")*($I$18:$I$984&gt;0)), 3, FALSE), ROWS($U$3:U11), 4), """")"),"Reserve - Chase")</f>
        <v>Reserve - Chase</v>
      </c>
    </row>
    <row r="12" ht="15.75" customHeight="1">
      <c r="H12" s="8"/>
      <c r="P12" s="9" t="str">
        <f>IFERROR(__xludf.DUMMYFUNCTION("IFERROR(INDEX(SORT(FILTER({$F$18:$F$984,$H$18:$H$984,$I$18:$I$984,$K$18:$K$984}, (($H$18:$H$984=""Eating out"")+($H$18:$H$984=""Groceries""))*($I$18:$I$984&gt;0)), 3, FALSE), ROWS($P$3:P12), 1), """")"),"KEY FOOD 1750")</f>
        <v>KEY FOOD 1750</v>
      </c>
      <c r="Q12" s="9" t="str">
        <f>IFERROR(__xludf.DUMMYFUNCTION("IFERROR(INDEX(SORT(FILTER({$F$18:$F$984,$H$18:$H$984,$I$18:$I$984,$K$18:$K$984}, (($H$18:$H$984=""Eating out"")+($H$18:$H$984=""Groceries""))*($I$18:$I$984&gt;0)), 3, FALSE), ROWS($P$3:P12), 2), """")"),"Groceries")</f>
        <v>Groceries</v>
      </c>
      <c r="R12" s="10">
        <f>IFERROR(__xludf.DUMMYFUNCTION("IFERROR(INDEX(SORT(FILTER({$F$18:$F$984,$H$18:$H$984,$I$18:$I$984,$K$18:$K$984}, (($H$18:$H$984=""Eating out"")+($H$18:$H$984=""Groceries""))*($I$18:$I$984&gt;0)), 3, FALSE), ROWS($P$3:P12), 3), """")"),35.8)</f>
        <v>35.8</v>
      </c>
      <c r="S12" s="9" t="str">
        <f>IFERROR(__xludf.DUMMYFUNCTION("IFERROR(INDEX(SORT(FILTER({$F$18:$F$984,$H$18:$H$984,$I$18:$I$984,$K$18:$K$984}, (($H$18:$H$984=""Eating out"")+($H$18:$H$984=""Groceries""))*($I$18:$I$984&gt;0)), 3, FALSE), ROWS($P$3:P12), 4), """")"),"Reserve - Chase")</f>
        <v>Reserve - Chase</v>
      </c>
      <c r="U12" s="9" t="str">
        <f>IFERROR(__xludf.DUMMYFUNCTION("IFERROR(INDEX(SORT(FILTER({$F$18:$F$984,$H$18:$H$984,$I$18:$I$984,$K$18:$K$984}, ($H$18:$H$984=""Coffee/ drinks"")*($I$18:$I$984&gt;0)), 3, FALSE), ROWS($U$3:U12), 1), """")"),"les wine for austins hosue")</f>
        <v>les wine for austins hosue</v>
      </c>
      <c r="V12" s="9" t="str">
        <f>IFERROR(__xludf.DUMMYFUNCTION("IFERROR(INDEX(SORT(FILTER({$F$18:$F$984,$H$18:$H$984,$I$18:$I$984,$K$18:$K$984}, ($H$18:$H$984=""Coffee/ drinks"")*($I$18:$I$984&gt;0)), 3, FALSE), ROWS($U$3:U12), 2), """")"),"Coffee/ drinks")</f>
        <v>Coffee/ drinks</v>
      </c>
      <c r="W12" s="10">
        <f>IFERROR(__xludf.DUMMYFUNCTION("IFERROR(INDEX(SORT(FILTER({$F$18:$F$984,$H$18:$H$984,$I$18:$I$984,$K$18:$K$984}, ($H$18:$H$984=""Coffee/ drinks"")*($I$18:$I$984&gt;0)), 3, FALSE), ROWS($U$3:U12), 3), """")"),19.65)</f>
        <v>19.65</v>
      </c>
      <c r="X12" s="9" t="str">
        <f>IFERROR(__xludf.DUMMYFUNCTION("IFERROR(INDEX(SORT(FILTER({$F$18:$F$984,$H$18:$H$984,$I$18:$I$984,$K$18:$K$984}, ($H$18:$H$984=""Coffee/ drinks"")*($I$18:$I$984&gt;0)), 3, FALSE), ROWS($U$3:U12), 4), """")"),"Reserve - Chase")</f>
        <v>Reserve - Chase</v>
      </c>
    </row>
    <row r="13" ht="15.75" customHeight="1">
      <c r="A13" s="13" t="s">
        <v>20</v>
      </c>
      <c r="B13" s="14">
        <f>SUM(B3:B11)</f>
        <v>7392.92</v>
      </c>
      <c r="F13" s="13" t="s">
        <v>20</v>
      </c>
      <c r="G13" s="14">
        <f>SUM(G3:G11)</f>
        <v>7392.92</v>
      </c>
    </row>
    <row r="14" ht="15.75" customHeight="1">
      <c r="A14" s="15" t="s">
        <v>21</v>
      </c>
      <c r="B14" s="2">
        <f>SUM(B3+B4) - SUM(B18:B26)</f>
        <v>1727.92</v>
      </c>
      <c r="G14" s="2"/>
    </row>
    <row r="15" ht="15.75" customHeight="1">
      <c r="B15" s="2"/>
    </row>
    <row r="16" ht="21.75" customHeight="1">
      <c r="A16" s="1" t="s">
        <v>22</v>
      </c>
      <c r="B16" s="2"/>
      <c r="F16" s="1" t="s">
        <v>23</v>
      </c>
      <c r="K16" s="15"/>
      <c r="P16" s="16"/>
      <c r="U16" s="3" t="s">
        <v>24</v>
      </c>
    </row>
    <row r="17" ht="15.75" customHeight="1">
      <c r="A17" s="4" t="s">
        <v>25</v>
      </c>
      <c r="B17" s="5" t="s">
        <v>26</v>
      </c>
      <c r="C17" s="4" t="s">
        <v>27</v>
      </c>
      <c r="F17" s="4" t="s">
        <v>28</v>
      </c>
      <c r="G17" s="4" t="s">
        <v>8</v>
      </c>
      <c r="H17" s="4" t="s">
        <v>9</v>
      </c>
      <c r="I17" s="4" t="s">
        <v>29</v>
      </c>
      <c r="J17" s="4" t="s">
        <v>6</v>
      </c>
      <c r="K17" s="17" t="s">
        <v>10</v>
      </c>
      <c r="L17" s="4" t="s">
        <v>30</v>
      </c>
      <c r="M17" s="4" t="s">
        <v>31</v>
      </c>
      <c r="N17" s="4" t="s">
        <v>32</v>
      </c>
      <c r="O17" s="18" t="s">
        <v>33</v>
      </c>
      <c r="P17" s="19" t="s">
        <v>34</v>
      </c>
      <c r="Q17" s="19" t="s">
        <v>35</v>
      </c>
      <c r="R17" s="19" t="s">
        <v>36</v>
      </c>
      <c r="S17" s="20"/>
      <c r="U17" s="6" t="s">
        <v>8</v>
      </c>
      <c r="V17" s="6" t="s">
        <v>9</v>
      </c>
      <c r="W17" s="6" t="s">
        <v>5</v>
      </c>
      <c r="X17" s="6" t="s">
        <v>10</v>
      </c>
    </row>
    <row r="18" ht="15.75" customHeight="1">
      <c r="A18" s="7" t="s">
        <v>37</v>
      </c>
      <c r="B18" s="2">
        <v>2000.0</v>
      </c>
      <c r="C18" s="2">
        <f t="shared" ref="C18:C26" si="1">SUMIF($H$18:$H$984,A18,$I$18:$I$984)</f>
        <v>500</v>
      </c>
      <c r="F18" s="7" t="s">
        <v>38</v>
      </c>
      <c r="G18" s="7"/>
      <c r="H18" s="7" t="s">
        <v>37</v>
      </c>
      <c r="I18" s="2">
        <v>500.0</v>
      </c>
      <c r="J18" s="12"/>
      <c r="K18" s="7" t="s">
        <v>39</v>
      </c>
      <c r="L18" s="21"/>
      <c r="M18" s="22">
        <f t="shared" ref="M18:M182" si="2">L18*I18</f>
        <v>0</v>
      </c>
      <c r="N18" s="2">
        <f t="shared" ref="N18:N182" si="3">M18*0.01</f>
        <v>0</v>
      </c>
      <c r="O18" s="22"/>
      <c r="P18" s="9"/>
      <c r="Q18" s="9"/>
      <c r="R18" s="10"/>
      <c r="S18" s="9"/>
      <c r="U18" s="9" t="str">
        <f>IFERROR(__xludf.DUMMYFUNCTION("ARRAY_CONSTRAIN(ARRAYFORMULA(IFERROR(INDEX(SORT(FILTER({$F$18:$F$984,$H$18:$H$984,$I$18:$I$984,$K$18:$K$984}, ($I$18:$I$984&gt;0)*($H$18:$H$984&lt;&gt;""Rent"")*($H$18:$H$984&lt;&gt;""Savings"")*($H$18:$H$984&lt;&gt;""Emergency Savings"")*($H$18:$H$984&lt;&gt;""Roth IRA"")*($H$18:$"&amp;"H$984&lt;&gt;""Seperate Account"")*($H$18:$H$984&lt;&gt;""work"")*($H$18:$H$984&lt;&gt;""Work"")*($H$18:$H$984&lt;&gt;""Rebates"")*($H$18:$H$984&lt;&gt;""Rebate"")), 3, FALSE), ROWS($P$18:U18), 1), """")), 10, 1)"),"ANNUAL MEMBERSHIP FEE")</f>
        <v>ANNUAL MEMBERSHIP FEE</v>
      </c>
      <c r="V18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ROWS($P$18:U18), 2), """")"),"misc")</f>
        <v>misc</v>
      </c>
      <c r="W18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ROWS($P$18:U18), 3), """")"),795.0)</f>
        <v>795</v>
      </c>
      <c r="X18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ROWS($P$18:U18), 4), """")"),"Reserve - Chase")</f>
        <v>Reserve - Chase</v>
      </c>
    </row>
    <row r="19" ht="15.75" customHeight="1">
      <c r="A19" s="7" t="s">
        <v>40</v>
      </c>
      <c r="B19" s="2">
        <v>400.0</v>
      </c>
      <c r="C19" s="2">
        <f t="shared" si="1"/>
        <v>400</v>
      </c>
      <c r="F19" s="7" t="s">
        <v>41</v>
      </c>
      <c r="G19" s="7"/>
      <c r="H19" s="7" t="s">
        <v>40</v>
      </c>
      <c r="I19" s="2">
        <v>400.0</v>
      </c>
      <c r="J19" s="12"/>
      <c r="K19" s="7" t="s">
        <v>39</v>
      </c>
      <c r="L19" s="7"/>
      <c r="M19" s="22">
        <f t="shared" si="2"/>
        <v>0</v>
      </c>
      <c r="N19" s="2">
        <f t="shared" si="3"/>
        <v>0</v>
      </c>
      <c r="O19" s="22"/>
      <c r="P19" s="9"/>
      <c r="Q19" s="9"/>
      <c r="R19" s="10"/>
      <c r="S19" s="9"/>
      <c r="U19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ROWS($P$18:U19), 1), """")"),"FSI*CONED BILL PAYMENT")</f>
        <v>FSI*CONED BILL PAYMENT</v>
      </c>
      <c r="V19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ROWS($P$18:U19), 2), """")"),"")</f>
        <v/>
      </c>
      <c r="W19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ROWS($P$18:U19), 3), """")"),745.49)</f>
        <v>745.49</v>
      </c>
      <c r="X19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ROWS($P$18:U19), 4), """")"),"Reserve - Chase")</f>
        <v>Reserve - Chase</v>
      </c>
    </row>
    <row r="20" ht="15.75" customHeight="1">
      <c r="A20" s="7" t="s">
        <v>42</v>
      </c>
      <c r="B20" s="2">
        <v>135.0</v>
      </c>
      <c r="C20" s="2">
        <f t="shared" si="1"/>
        <v>135</v>
      </c>
      <c r="F20" s="7" t="s">
        <v>43</v>
      </c>
      <c r="G20" s="7"/>
      <c r="H20" s="7" t="s">
        <v>44</v>
      </c>
      <c r="I20" s="2">
        <v>200.0</v>
      </c>
      <c r="J20" s="12"/>
      <c r="K20" s="7" t="s">
        <v>39</v>
      </c>
      <c r="L20" s="7"/>
      <c r="M20" s="22">
        <f t="shared" si="2"/>
        <v>0</v>
      </c>
      <c r="N20" s="2">
        <f t="shared" si="3"/>
        <v>0</v>
      </c>
      <c r="O20" s="22"/>
      <c r="P20" s="9"/>
      <c r="Q20" s="9"/>
      <c r="R20" s="10"/>
      <c r="S20" s="9"/>
      <c r="U20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ROWS($P$18:U20), 1), """")"),"WHOOP")</f>
        <v>WHOOP</v>
      </c>
      <c r="V20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ROWS($P$18:U20), 2), """")"),"misc")</f>
        <v>misc</v>
      </c>
      <c r="W20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ROWS($P$18:U20), 3), """")"),390.86)</f>
        <v>390.86</v>
      </c>
      <c r="X20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ROWS($P$18:U20), 4), """")"),"Reserve - Chase")</f>
        <v>Reserve - Chase</v>
      </c>
    </row>
    <row r="21" ht="15.75" customHeight="1">
      <c r="A21" s="7" t="s">
        <v>45</v>
      </c>
      <c r="B21" s="2">
        <v>80.0</v>
      </c>
      <c r="C21" s="2">
        <f t="shared" si="1"/>
        <v>100</v>
      </c>
      <c r="F21" s="7" t="s">
        <v>46</v>
      </c>
      <c r="G21" s="7"/>
      <c r="H21" s="7" t="s">
        <v>44</v>
      </c>
      <c r="I21" s="2">
        <v>200.0</v>
      </c>
      <c r="J21" s="12"/>
      <c r="K21" s="7" t="s">
        <v>39</v>
      </c>
      <c r="L21" s="7"/>
      <c r="M21" s="22">
        <f t="shared" si="2"/>
        <v>0</v>
      </c>
      <c r="N21" s="2">
        <f t="shared" si="3"/>
        <v>0</v>
      </c>
      <c r="O21" s="22"/>
      <c r="P21" s="9"/>
      <c r="Q21" s="9"/>
      <c r="R21" s="10"/>
      <c r="S21" s="9"/>
      <c r="U21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ROWS($P$18:U21), 1), """")"),"vital")</f>
        <v>vital</v>
      </c>
      <c r="V21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ROWS($P$18:U21), 2), """")"),"Gym Membership")</f>
        <v>Gym Membership</v>
      </c>
      <c r="W21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ROWS($P$18:U21), 3), """")"),200.0)</f>
        <v>200</v>
      </c>
      <c r="X21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ROWS($P$18:U21), 4), """")"),"NONE")</f>
        <v>NONE</v>
      </c>
    </row>
    <row r="22" ht="15.75" customHeight="1">
      <c r="A22" s="7" t="s">
        <v>44</v>
      </c>
      <c r="B22" s="2">
        <v>400.0</v>
      </c>
      <c r="C22" s="2">
        <f t="shared" si="1"/>
        <v>400</v>
      </c>
      <c r="F22" s="7" t="s">
        <v>47</v>
      </c>
      <c r="G22" s="7"/>
      <c r="H22" s="7" t="s">
        <v>45</v>
      </c>
      <c r="I22" s="2">
        <v>80.0</v>
      </c>
      <c r="J22" s="12"/>
      <c r="K22" s="7" t="s">
        <v>39</v>
      </c>
      <c r="L22" s="7"/>
      <c r="M22" s="22">
        <f t="shared" si="2"/>
        <v>0</v>
      </c>
      <c r="N22" s="2">
        <f t="shared" si="3"/>
        <v>0</v>
      </c>
      <c r="O22" s="22"/>
      <c r="P22" s="9"/>
      <c r="Q22" s="9"/>
      <c r="R22" s="10"/>
      <c r="S22" s="9"/>
      <c r="U22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ROWS($P$18:U22), 1), """")"),"diamond heart")</f>
        <v>diamond heart</v>
      </c>
      <c r="V22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ROWS($P$18:U22), 2), """")"),"Gym Membership")</f>
        <v>Gym Membership</v>
      </c>
      <c r="W22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ROWS($P$18:U22), 3), """")"),200.0)</f>
        <v>200</v>
      </c>
      <c r="X22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ROWS($P$18:U22), 4), """")"),"NONE")</f>
        <v>NONE</v>
      </c>
    </row>
    <row r="23" ht="15.75" customHeight="1">
      <c r="A23" s="7" t="s">
        <v>48</v>
      </c>
      <c r="B23" s="2">
        <v>0.0</v>
      </c>
      <c r="C23" s="2">
        <f t="shared" si="1"/>
        <v>0</v>
      </c>
      <c r="F23" s="7" t="s">
        <v>49</v>
      </c>
      <c r="G23" s="7"/>
      <c r="H23" s="7" t="s">
        <v>42</v>
      </c>
      <c r="I23" s="2">
        <v>120.0</v>
      </c>
      <c r="J23" s="12"/>
      <c r="K23" s="7" t="s">
        <v>39</v>
      </c>
      <c r="L23" s="7"/>
      <c r="M23" s="22">
        <f t="shared" si="2"/>
        <v>0</v>
      </c>
      <c r="N23" s="2">
        <f t="shared" si="3"/>
        <v>0</v>
      </c>
      <c r="O23" s="22"/>
      <c r="P23" s="9"/>
      <c r="Q23" s="9"/>
      <c r="R23" s="10"/>
      <c r="S23" s="9"/>
      <c r="U23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ROWS($P$18:U23), 1), """")"),"investing")</f>
        <v>investing</v>
      </c>
      <c r="V23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ROWS($P$18:U23), 2), """")"),"Investing")</f>
        <v>Investing</v>
      </c>
      <c r="W23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ROWS($P$18:U23), 3), """")"),200.0)</f>
        <v>200</v>
      </c>
      <c r="X23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ROWS($P$18:U23), 4), """")"),"")</f>
        <v/>
      </c>
    </row>
    <row r="24" ht="15.75" customHeight="1">
      <c r="A24" s="7" t="s">
        <v>50</v>
      </c>
      <c r="B24" s="2">
        <v>150.0</v>
      </c>
      <c r="C24" s="2">
        <f t="shared" si="1"/>
        <v>187</v>
      </c>
      <c r="F24" s="7" t="s">
        <v>51</v>
      </c>
      <c r="G24" s="7"/>
      <c r="H24" s="7" t="s">
        <v>42</v>
      </c>
      <c r="I24" s="2">
        <v>15.0</v>
      </c>
      <c r="J24" s="12"/>
      <c r="K24" s="7" t="s">
        <v>39</v>
      </c>
      <c r="L24" s="7"/>
      <c r="M24" s="22">
        <f t="shared" si="2"/>
        <v>0</v>
      </c>
      <c r="N24" s="2">
        <f t="shared" si="3"/>
        <v>0</v>
      </c>
      <c r="O24" s="22"/>
      <c r="P24" s="9"/>
      <c r="Q24" s="9"/>
      <c r="R24" s="10"/>
      <c r="S24" s="9"/>
      <c r="U24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ROWS($P$18:U24), 1), """")"),"mta")</f>
        <v>mta</v>
      </c>
      <c r="V24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ROWS($P$18:U24), 2), """")"),"MTA")</f>
        <v>MTA</v>
      </c>
      <c r="W24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ROWS($P$18:U24), 3), """")"),150.0)</f>
        <v>150</v>
      </c>
      <c r="X24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ROWS($P$18:U24), 4), """")"),"Reserve - Chase")</f>
        <v>Reserve - Chase</v>
      </c>
    </row>
    <row r="25" ht="15.75" customHeight="1">
      <c r="A25" s="7" t="s">
        <v>52</v>
      </c>
      <c r="B25" s="2">
        <v>1500.0</v>
      </c>
      <c r="C25" s="2">
        <f t="shared" si="1"/>
        <v>1500</v>
      </c>
      <c r="F25" s="7" t="s">
        <v>53</v>
      </c>
      <c r="G25" s="7"/>
      <c r="H25" s="7" t="s">
        <v>50</v>
      </c>
      <c r="I25" s="2">
        <v>150.0</v>
      </c>
      <c r="J25" s="12"/>
      <c r="K25" s="7" t="s">
        <v>54</v>
      </c>
      <c r="L25" s="7"/>
      <c r="M25" s="22">
        <f t="shared" si="2"/>
        <v>0</v>
      </c>
      <c r="N25" s="2">
        <f t="shared" si="3"/>
        <v>0</v>
      </c>
      <c r="O25" s="22"/>
      <c r="P25" s="9"/>
      <c r="Q25" s="9"/>
      <c r="R25" s="10"/>
      <c r="S25" s="9"/>
      <c r="U25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ROWS($P$18:U25), 1), """")"),"therapy")</f>
        <v>therapy</v>
      </c>
      <c r="V25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ROWS($P$18:U25), 2), """")"),"Subscriptions")</f>
        <v>Subscriptions</v>
      </c>
      <c r="W25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ROWS($P$18:U25), 3), """")"),120.0)</f>
        <v>120</v>
      </c>
      <c r="X25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ROWS($P$18:U25), 4), """")"),"NONE")</f>
        <v>NONE</v>
      </c>
    </row>
    <row r="26" ht="15.75" customHeight="1">
      <c r="A26" s="7" t="s">
        <v>55</v>
      </c>
      <c r="B26" s="2">
        <v>1000.0</v>
      </c>
      <c r="C26" s="2">
        <f t="shared" si="1"/>
        <v>1000</v>
      </c>
      <c r="F26" s="7" t="s">
        <v>56</v>
      </c>
      <c r="G26" s="7"/>
      <c r="H26" s="7" t="s">
        <v>57</v>
      </c>
      <c r="I26" s="2">
        <v>300.0</v>
      </c>
      <c r="J26" s="12"/>
      <c r="K26" s="7" t="s">
        <v>39</v>
      </c>
      <c r="L26" s="7"/>
      <c r="M26" s="22">
        <f t="shared" si="2"/>
        <v>0</v>
      </c>
      <c r="N26" s="2">
        <f t="shared" si="3"/>
        <v>0</v>
      </c>
      <c r="O26" s="22"/>
      <c r="P26" s="9"/>
      <c r="Q26" s="9"/>
      <c r="R26" s="10"/>
      <c r="S26" s="9"/>
      <c r="U26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ROWS($P$18:U26), 1), """")"),"SQ *B LOUNGE NYC")</f>
        <v>SQ *B LOUNGE NYC</v>
      </c>
      <c r="V26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ROWS($P$18:U26), 2), """")"),"Coffee/ drinks")</f>
        <v>Coffee/ drinks</v>
      </c>
      <c r="W26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ROWS($P$18:U26), 3), """")"),110.02)</f>
        <v>110.02</v>
      </c>
      <c r="X26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ROWS($P$18:U26), 4), """")"),"Preferred- Chase")</f>
        <v>Preferred- Chase</v>
      </c>
    </row>
    <row r="27" ht="15.75" customHeight="1">
      <c r="F27" s="7" t="s">
        <v>58</v>
      </c>
      <c r="G27" s="7"/>
      <c r="H27" s="7" t="s">
        <v>52</v>
      </c>
      <c r="I27" s="2">
        <v>1500.0</v>
      </c>
      <c r="J27" s="12"/>
      <c r="K27" s="7" t="s">
        <v>39</v>
      </c>
      <c r="L27" s="7"/>
      <c r="M27" s="22">
        <f t="shared" si="2"/>
        <v>0</v>
      </c>
      <c r="N27" s="2">
        <f t="shared" si="3"/>
        <v>0</v>
      </c>
      <c r="O27" s="22"/>
      <c r="P27" s="9"/>
      <c r="Q27" s="9"/>
      <c r="R27" s="10"/>
      <c r="S27" s="9"/>
      <c r="U27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ROWS($P$18:U27), 1), """")"),"TST*MOMOFUKU NOODLE BAR")</f>
        <v>TST*MOMOFUKU NOODLE BAR</v>
      </c>
      <c r="V27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ROWS($P$18:U27), 2), """")"),"Eating out")</f>
        <v>Eating out</v>
      </c>
      <c r="W27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ROWS($P$18:U27), 3), """")"),100.0)</f>
        <v>100</v>
      </c>
      <c r="X27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ROWS($P$18:U27), 4), """")"),"Reserve - Chase")</f>
        <v>Reserve - Chase</v>
      </c>
    </row>
    <row r="28" ht="15.75" customHeight="1">
      <c r="A28" s="4" t="s">
        <v>59</v>
      </c>
      <c r="B28" s="5" t="s">
        <v>26</v>
      </c>
      <c r="C28" s="4" t="s">
        <v>27</v>
      </c>
      <c r="F28" s="7" t="s">
        <v>60</v>
      </c>
      <c r="G28" s="7"/>
      <c r="H28" s="7" t="s">
        <v>55</v>
      </c>
      <c r="I28" s="2">
        <v>1000.0</v>
      </c>
      <c r="J28" s="12"/>
      <c r="K28" s="7" t="s">
        <v>39</v>
      </c>
      <c r="L28" s="7"/>
      <c r="M28" s="22">
        <f t="shared" si="2"/>
        <v>0</v>
      </c>
      <c r="N28" s="2">
        <f t="shared" si="3"/>
        <v>0</v>
      </c>
      <c r="O28" s="22"/>
    </row>
    <row r="29" ht="15.75" customHeight="1">
      <c r="A29" s="7" t="s">
        <v>61</v>
      </c>
      <c r="B29" s="2">
        <v>400.0</v>
      </c>
      <c r="C29" s="2">
        <f t="shared" ref="C29:C42" si="4">SUMIF($H$18:$H$984,A29,$I$18:$I$984)</f>
        <v>392.34</v>
      </c>
      <c r="F29" s="23" t="s">
        <v>62</v>
      </c>
      <c r="G29" s="7"/>
      <c r="H29" s="23" t="s">
        <v>63</v>
      </c>
      <c r="I29" s="24">
        <v>200.0</v>
      </c>
      <c r="J29" s="12"/>
      <c r="K29" s="7"/>
      <c r="L29" s="7"/>
      <c r="M29" s="22">
        <f t="shared" si="2"/>
        <v>0</v>
      </c>
      <c r="N29" s="2">
        <f t="shared" si="3"/>
        <v>0</v>
      </c>
      <c r="O29" s="22"/>
      <c r="P29" s="25"/>
      <c r="U29" s="25" t="s">
        <v>64</v>
      </c>
    </row>
    <row r="30" ht="15.75" customHeight="1">
      <c r="A30" s="7" t="s">
        <v>65</v>
      </c>
      <c r="B30" s="2">
        <v>150.0</v>
      </c>
      <c r="C30" s="2">
        <f t="shared" si="4"/>
        <v>592.5466667</v>
      </c>
      <c r="F30" s="7" t="s">
        <v>66</v>
      </c>
      <c r="G30" s="7" t="s">
        <v>67</v>
      </c>
      <c r="H30" s="7"/>
      <c r="I30" s="2"/>
      <c r="J30" s="12"/>
      <c r="K30" s="7"/>
      <c r="L30" s="7"/>
      <c r="M30" s="22">
        <f t="shared" si="2"/>
        <v>0</v>
      </c>
      <c r="N30" s="2">
        <f t="shared" si="3"/>
        <v>0</v>
      </c>
      <c r="O30" s="22"/>
    </row>
    <row r="31" ht="15.75" customHeight="1">
      <c r="A31" s="7" t="s">
        <v>68</v>
      </c>
      <c r="B31" s="2">
        <v>40.0</v>
      </c>
      <c r="C31" s="2">
        <f t="shared" si="4"/>
        <v>624.68</v>
      </c>
      <c r="F31" s="26" t="s">
        <v>69</v>
      </c>
      <c r="G31" s="7"/>
      <c r="H31" s="7" t="s">
        <v>70</v>
      </c>
      <c r="I31" s="27">
        <v>60.0</v>
      </c>
      <c r="J31" s="12"/>
      <c r="K31" s="7" t="s">
        <v>71</v>
      </c>
      <c r="L31" s="7">
        <v>1.0</v>
      </c>
      <c r="M31" s="22">
        <f t="shared" si="2"/>
        <v>60</v>
      </c>
      <c r="N31" s="2">
        <f t="shared" si="3"/>
        <v>0.6</v>
      </c>
      <c r="O31" s="28">
        <f t="shared" ref="O31:O182" si="5">IF(L31=1,MULTIPLY(M31,1.5),M31)</f>
        <v>90</v>
      </c>
      <c r="P31" s="29">
        <f t="shared" ref="P31:P186" si="6">O31*0.01</f>
        <v>0.9</v>
      </c>
      <c r="Q31" s="29">
        <f t="shared" ref="Q31:Q186" si="7">IF(L31=1,MULTIPLY(M31,2),M31)</f>
        <v>120</v>
      </c>
      <c r="R31" s="29">
        <f t="shared" ref="R31:R186" si="8">Q31*0.01</f>
        <v>1.2</v>
      </c>
    </row>
    <row r="32" ht="15.75" customHeight="1">
      <c r="A32" s="7" t="s">
        <v>72</v>
      </c>
      <c r="B32" s="2">
        <v>150.0</v>
      </c>
      <c r="C32" s="2">
        <f t="shared" si="4"/>
        <v>52.78</v>
      </c>
      <c r="F32" s="26" t="s">
        <v>73</v>
      </c>
      <c r="G32" s="7"/>
      <c r="H32" s="7" t="s">
        <v>74</v>
      </c>
      <c r="I32" s="27">
        <v>53.05</v>
      </c>
      <c r="J32" s="12"/>
      <c r="K32" s="7" t="s">
        <v>71</v>
      </c>
      <c r="L32" s="7">
        <v>0.0</v>
      </c>
      <c r="M32" s="22">
        <f t="shared" si="2"/>
        <v>0</v>
      </c>
      <c r="N32" s="2">
        <f t="shared" si="3"/>
        <v>0</v>
      </c>
      <c r="O32" s="28">
        <f t="shared" si="5"/>
        <v>0</v>
      </c>
      <c r="P32" s="29">
        <f t="shared" si="6"/>
        <v>0</v>
      </c>
      <c r="Q32" s="30">
        <f t="shared" si="7"/>
        <v>0</v>
      </c>
      <c r="R32" s="29">
        <f t="shared" si="8"/>
        <v>0</v>
      </c>
    </row>
    <row r="33" ht="15.75" customHeight="1">
      <c r="A33" s="7" t="s">
        <v>75</v>
      </c>
      <c r="B33" s="2">
        <v>125.0</v>
      </c>
      <c r="C33" s="2">
        <f t="shared" si="4"/>
        <v>155.67</v>
      </c>
      <c r="F33" s="26" t="s">
        <v>69</v>
      </c>
      <c r="G33" s="7"/>
      <c r="H33" s="7" t="s">
        <v>70</v>
      </c>
      <c r="I33" s="27">
        <v>60.0</v>
      </c>
      <c r="J33" s="12"/>
      <c r="K33" s="7" t="s">
        <v>71</v>
      </c>
      <c r="L33" s="7">
        <v>1.0</v>
      </c>
      <c r="M33" s="22">
        <f t="shared" si="2"/>
        <v>60</v>
      </c>
      <c r="N33" s="2">
        <f t="shared" si="3"/>
        <v>0.6</v>
      </c>
      <c r="O33" s="28">
        <f t="shared" si="5"/>
        <v>90</v>
      </c>
      <c r="P33" s="29">
        <f t="shared" si="6"/>
        <v>0.9</v>
      </c>
      <c r="Q33" s="29">
        <f t="shared" si="7"/>
        <v>120</v>
      </c>
      <c r="R33" s="29">
        <f t="shared" si="8"/>
        <v>1.2</v>
      </c>
    </row>
    <row r="34" ht="15.75" customHeight="1">
      <c r="A34" s="7" t="s">
        <v>76</v>
      </c>
      <c r="B34" s="2">
        <v>250.0</v>
      </c>
      <c r="C34" s="2">
        <f t="shared" si="4"/>
        <v>0</v>
      </c>
      <c r="F34" s="26" t="s">
        <v>77</v>
      </c>
      <c r="G34" s="7"/>
      <c r="H34" s="7" t="s">
        <v>72</v>
      </c>
      <c r="I34" s="27">
        <v>11.84</v>
      </c>
      <c r="J34" s="12"/>
      <c r="K34" s="7" t="s">
        <v>71</v>
      </c>
      <c r="L34" s="7">
        <v>5.0</v>
      </c>
      <c r="M34" s="22">
        <f t="shared" si="2"/>
        <v>59.2</v>
      </c>
      <c r="N34" s="2">
        <f t="shared" si="3"/>
        <v>0.592</v>
      </c>
      <c r="O34" s="28">
        <f t="shared" si="5"/>
        <v>59.2</v>
      </c>
      <c r="P34" s="29">
        <f t="shared" si="6"/>
        <v>0.592</v>
      </c>
      <c r="Q34" s="30">
        <f t="shared" si="7"/>
        <v>59.2</v>
      </c>
      <c r="R34" s="29">
        <f t="shared" si="8"/>
        <v>0.592</v>
      </c>
    </row>
    <row r="35" ht="15.75" customHeight="1">
      <c r="A35" s="7" t="s">
        <v>57</v>
      </c>
      <c r="B35" s="2">
        <v>300.0</v>
      </c>
      <c r="C35" s="2">
        <f t="shared" si="4"/>
        <v>300</v>
      </c>
      <c r="F35" s="26" t="s">
        <v>78</v>
      </c>
      <c r="G35" s="7"/>
      <c r="H35" s="7"/>
      <c r="I35" s="27">
        <v>79.35</v>
      </c>
      <c r="J35" s="12"/>
      <c r="K35" s="7" t="s">
        <v>71</v>
      </c>
      <c r="L35" s="7">
        <v>3.0</v>
      </c>
      <c r="M35" s="22">
        <f t="shared" si="2"/>
        <v>238.05</v>
      </c>
      <c r="N35" s="2">
        <f t="shared" si="3"/>
        <v>2.3805</v>
      </c>
      <c r="O35" s="28">
        <f t="shared" si="5"/>
        <v>238.05</v>
      </c>
      <c r="P35" s="29">
        <f t="shared" si="6"/>
        <v>2.3805</v>
      </c>
      <c r="Q35" s="30">
        <f t="shared" si="7"/>
        <v>238.05</v>
      </c>
      <c r="R35" s="29">
        <f t="shared" si="8"/>
        <v>2.3805</v>
      </c>
    </row>
    <row r="36" ht="15.75" customHeight="1">
      <c r="A36" s="7" t="s">
        <v>63</v>
      </c>
      <c r="B36" s="2">
        <v>200.0</v>
      </c>
      <c r="C36" s="2">
        <f t="shared" si="4"/>
        <v>200</v>
      </c>
      <c r="F36" s="26" t="s">
        <v>79</v>
      </c>
      <c r="G36" s="7"/>
      <c r="H36" s="7" t="s">
        <v>68</v>
      </c>
      <c r="I36" s="27">
        <v>110.02</v>
      </c>
      <c r="J36" s="12"/>
      <c r="K36" s="7" t="s">
        <v>71</v>
      </c>
      <c r="L36" s="7">
        <v>3.0</v>
      </c>
      <c r="M36" s="22">
        <f t="shared" si="2"/>
        <v>330.06</v>
      </c>
      <c r="N36" s="2">
        <f t="shared" si="3"/>
        <v>3.3006</v>
      </c>
      <c r="O36" s="28">
        <f t="shared" si="5"/>
        <v>330.06</v>
      </c>
      <c r="P36" s="29">
        <f t="shared" si="6"/>
        <v>3.3006</v>
      </c>
      <c r="Q36" s="30">
        <f t="shared" si="7"/>
        <v>330.06</v>
      </c>
      <c r="R36" s="29">
        <f t="shared" si="8"/>
        <v>3.3006</v>
      </c>
    </row>
    <row r="37" ht="15.75" customHeight="1">
      <c r="A37" s="7" t="s">
        <v>74</v>
      </c>
      <c r="B37" s="2">
        <v>60.0</v>
      </c>
      <c r="C37" s="2">
        <f t="shared" si="4"/>
        <v>624.88</v>
      </c>
      <c r="F37" s="26" t="s">
        <v>79</v>
      </c>
      <c r="G37" s="7"/>
      <c r="H37" s="7" t="s">
        <v>68</v>
      </c>
      <c r="I37" s="27">
        <v>58.9</v>
      </c>
      <c r="J37" s="12"/>
      <c r="K37" s="7" t="s">
        <v>71</v>
      </c>
      <c r="L37" s="7">
        <v>3.0</v>
      </c>
      <c r="M37" s="22">
        <f t="shared" si="2"/>
        <v>176.7</v>
      </c>
      <c r="N37" s="2">
        <f t="shared" si="3"/>
        <v>1.767</v>
      </c>
      <c r="O37" s="28">
        <f t="shared" si="5"/>
        <v>176.7</v>
      </c>
      <c r="P37" s="29">
        <f t="shared" si="6"/>
        <v>1.767</v>
      </c>
      <c r="Q37" s="30">
        <f t="shared" si="7"/>
        <v>176.7</v>
      </c>
      <c r="R37" s="29">
        <f t="shared" si="8"/>
        <v>1.767</v>
      </c>
    </row>
    <row r="38" ht="15.75" customHeight="1">
      <c r="A38" s="7" t="s">
        <v>70</v>
      </c>
      <c r="B38" s="2"/>
      <c r="C38" s="2">
        <f t="shared" si="4"/>
        <v>2179.08</v>
      </c>
      <c r="F38" s="26" t="s">
        <v>79</v>
      </c>
      <c r="G38" s="7"/>
      <c r="H38" s="7" t="s">
        <v>68</v>
      </c>
      <c r="I38" s="27">
        <v>45.48</v>
      </c>
      <c r="J38" s="12"/>
      <c r="K38" s="7" t="s">
        <v>71</v>
      </c>
      <c r="L38" s="7">
        <v>3.0</v>
      </c>
      <c r="M38" s="22">
        <f t="shared" si="2"/>
        <v>136.44</v>
      </c>
      <c r="N38" s="2">
        <f t="shared" si="3"/>
        <v>1.3644</v>
      </c>
      <c r="O38" s="28">
        <f t="shared" si="5"/>
        <v>136.44</v>
      </c>
      <c r="P38" s="29">
        <f t="shared" si="6"/>
        <v>1.3644</v>
      </c>
      <c r="Q38" s="30">
        <f t="shared" si="7"/>
        <v>136.44</v>
      </c>
      <c r="R38" s="29">
        <f t="shared" si="8"/>
        <v>1.3644</v>
      </c>
    </row>
    <row r="39" ht="15.75" customHeight="1">
      <c r="A39" s="7"/>
      <c r="B39" s="2"/>
      <c r="C39" s="2">
        <f t="shared" si="4"/>
        <v>0</v>
      </c>
      <c r="F39" s="26" t="s">
        <v>80</v>
      </c>
      <c r="G39" s="7"/>
      <c r="H39" s="7" t="s">
        <v>68</v>
      </c>
      <c r="I39" s="27">
        <v>38.84</v>
      </c>
      <c r="J39" s="12"/>
      <c r="K39" s="7" t="s">
        <v>71</v>
      </c>
      <c r="L39" s="7">
        <v>3.0</v>
      </c>
      <c r="M39" s="22">
        <f t="shared" si="2"/>
        <v>116.52</v>
      </c>
      <c r="N39" s="2">
        <f t="shared" si="3"/>
        <v>1.1652</v>
      </c>
      <c r="O39" s="28">
        <f t="shared" si="5"/>
        <v>116.52</v>
      </c>
      <c r="P39" s="29">
        <f t="shared" si="6"/>
        <v>1.1652</v>
      </c>
      <c r="Q39" s="30">
        <f t="shared" si="7"/>
        <v>116.52</v>
      </c>
      <c r="R39" s="29">
        <f t="shared" si="8"/>
        <v>1.1652</v>
      </c>
    </row>
    <row r="40" ht="15.75" customHeight="1">
      <c r="A40" s="7" t="s">
        <v>81</v>
      </c>
      <c r="B40" s="2">
        <v>0.0</v>
      </c>
      <c r="C40" s="2">
        <f t="shared" si="4"/>
        <v>0</v>
      </c>
      <c r="F40" s="26" t="s">
        <v>82</v>
      </c>
      <c r="G40" s="7"/>
      <c r="H40" s="7" t="s">
        <v>65</v>
      </c>
      <c r="I40" s="27">
        <v>28.04</v>
      </c>
      <c r="J40" s="12"/>
      <c r="K40" s="7" t="s">
        <v>54</v>
      </c>
      <c r="L40" s="7">
        <v>3.0</v>
      </c>
      <c r="M40" s="22">
        <f t="shared" si="2"/>
        <v>84.12</v>
      </c>
      <c r="N40" s="2">
        <f t="shared" si="3"/>
        <v>0.8412</v>
      </c>
      <c r="O40" s="28">
        <f t="shared" si="5"/>
        <v>84.12</v>
      </c>
      <c r="P40" s="29">
        <f t="shared" si="6"/>
        <v>0.8412</v>
      </c>
      <c r="Q40" s="30">
        <f t="shared" si="7"/>
        <v>84.12</v>
      </c>
      <c r="R40" s="29">
        <f t="shared" si="8"/>
        <v>0.8412</v>
      </c>
    </row>
    <row r="41" ht="15.75" customHeight="1">
      <c r="A41" s="7" t="s">
        <v>83</v>
      </c>
      <c r="B41" s="2">
        <v>0.0</v>
      </c>
      <c r="C41" s="2">
        <f t="shared" si="4"/>
        <v>0</v>
      </c>
      <c r="F41" s="26" t="s">
        <v>80</v>
      </c>
      <c r="G41" s="7"/>
      <c r="H41" s="7" t="s">
        <v>68</v>
      </c>
      <c r="I41" s="27">
        <v>30.13</v>
      </c>
      <c r="J41" s="12"/>
      <c r="K41" s="7" t="s">
        <v>54</v>
      </c>
      <c r="L41" s="7">
        <v>3.0</v>
      </c>
      <c r="M41" s="22">
        <f t="shared" si="2"/>
        <v>90.39</v>
      </c>
      <c r="N41" s="2">
        <f t="shared" si="3"/>
        <v>0.9039</v>
      </c>
      <c r="O41" s="28">
        <f t="shared" si="5"/>
        <v>90.39</v>
      </c>
      <c r="P41" s="29">
        <f t="shared" si="6"/>
        <v>0.9039</v>
      </c>
      <c r="Q41" s="30">
        <f t="shared" si="7"/>
        <v>90.39</v>
      </c>
      <c r="R41" s="29">
        <f t="shared" si="8"/>
        <v>0.9039</v>
      </c>
    </row>
    <row r="42" ht="15.75" customHeight="1">
      <c r="A42" s="7" t="s">
        <v>84</v>
      </c>
      <c r="B42" s="2">
        <v>0.0</v>
      </c>
      <c r="C42" s="2">
        <f t="shared" si="4"/>
        <v>0</v>
      </c>
      <c r="D42" s="4"/>
      <c r="E42" s="4"/>
      <c r="F42" s="31" t="s">
        <v>85</v>
      </c>
      <c r="G42" s="7"/>
      <c r="H42" s="7" t="s">
        <v>61</v>
      </c>
      <c r="I42" s="32">
        <v>6.99</v>
      </c>
      <c r="J42" s="12"/>
      <c r="K42" s="7" t="s">
        <v>54</v>
      </c>
      <c r="L42" s="7">
        <v>1.0</v>
      </c>
      <c r="M42" s="22">
        <f t="shared" si="2"/>
        <v>6.99</v>
      </c>
      <c r="N42" s="2">
        <f t="shared" si="3"/>
        <v>0.0699</v>
      </c>
      <c r="O42" s="28">
        <f t="shared" si="5"/>
        <v>10.485</v>
      </c>
      <c r="P42" s="29">
        <f t="shared" si="6"/>
        <v>0.10485</v>
      </c>
      <c r="Q42" s="29">
        <f t="shared" si="7"/>
        <v>13.98</v>
      </c>
      <c r="R42" s="29">
        <f t="shared" si="8"/>
        <v>0.1398</v>
      </c>
    </row>
    <row r="43" ht="15.75" customHeight="1">
      <c r="D43" s="4"/>
      <c r="E43" s="4"/>
      <c r="F43" s="31" t="s">
        <v>86</v>
      </c>
      <c r="G43" s="7"/>
      <c r="H43" s="7" t="s">
        <v>70</v>
      </c>
      <c r="I43" s="32">
        <v>35.0</v>
      </c>
      <c r="J43" s="12"/>
      <c r="K43" s="7" t="s">
        <v>54</v>
      </c>
      <c r="L43" s="7">
        <v>1.0</v>
      </c>
      <c r="M43" s="22">
        <f t="shared" si="2"/>
        <v>35</v>
      </c>
      <c r="N43" s="2">
        <f t="shared" si="3"/>
        <v>0.35</v>
      </c>
      <c r="O43" s="28">
        <f t="shared" si="5"/>
        <v>52.5</v>
      </c>
      <c r="P43" s="29">
        <f t="shared" si="6"/>
        <v>0.525</v>
      </c>
      <c r="Q43" s="29">
        <f t="shared" si="7"/>
        <v>70</v>
      </c>
      <c r="R43" s="29">
        <f t="shared" si="8"/>
        <v>0.7</v>
      </c>
    </row>
    <row r="44" ht="15.75" customHeight="1">
      <c r="A44" s="13" t="s">
        <v>20</v>
      </c>
      <c r="B44" s="14">
        <f>SUM(B18:B42)</f>
        <v>7340</v>
      </c>
      <c r="C44" s="14">
        <f>SUM(C18:C37) + SUM(C39:C42)</f>
        <v>7164.896667</v>
      </c>
      <c r="F44" s="31" t="s">
        <v>87</v>
      </c>
      <c r="G44" s="7"/>
      <c r="H44" s="7" t="s">
        <v>75</v>
      </c>
      <c r="I44" s="33">
        <v>40.0</v>
      </c>
      <c r="J44" s="12"/>
      <c r="K44" s="7" t="s">
        <v>54</v>
      </c>
      <c r="L44" s="7">
        <v>3.0</v>
      </c>
      <c r="M44" s="22">
        <f t="shared" si="2"/>
        <v>120</v>
      </c>
      <c r="N44" s="2">
        <f t="shared" si="3"/>
        <v>1.2</v>
      </c>
      <c r="O44" s="28">
        <f t="shared" si="5"/>
        <v>120</v>
      </c>
      <c r="P44" s="29">
        <f t="shared" si="6"/>
        <v>1.2</v>
      </c>
      <c r="Q44" s="30">
        <f t="shared" si="7"/>
        <v>120</v>
      </c>
      <c r="R44" s="29">
        <f t="shared" si="8"/>
        <v>1.2</v>
      </c>
    </row>
    <row r="45" ht="15.75" customHeight="1">
      <c r="A45" s="34" t="s">
        <v>88</v>
      </c>
      <c r="B45" s="2">
        <f t="shared" ref="B45:C45" si="9">SUM(B29:B37) + SUM(B39:B42)</f>
        <v>1675</v>
      </c>
      <c r="C45" s="2">
        <f t="shared" si="9"/>
        <v>2942.896667</v>
      </c>
      <c r="F45" s="31" t="s">
        <v>89</v>
      </c>
      <c r="G45" s="7"/>
      <c r="H45" s="7" t="s">
        <v>72</v>
      </c>
      <c r="I45" s="32">
        <v>1.94</v>
      </c>
      <c r="J45" s="12"/>
      <c r="K45" s="7" t="s">
        <v>54</v>
      </c>
      <c r="L45" s="7">
        <v>5.0</v>
      </c>
      <c r="M45" s="22">
        <f t="shared" si="2"/>
        <v>9.7</v>
      </c>
      <c r="N45" s="2">
        <f t="shared" si="3"/>
        <v>0.097</v>
      </c>
      <c r="O45" s="28">
        <f t="shared" si="5"/>
        <v>9.7</v>
      </c>
      <c r="P45" s="29">
        <f t="shared" si="6"/>
        <v>0.097</v>
      </c>
      <c r="Q45" s="30">
        <f t="shared" si="7"/>
        <v>9.7</v>
      </c>
      <c r="R45" s="29">
        <f t="shared" si="8"/>
        <v>0.097</v>
      </c>
    </row>
    <row r="46" ht="15.75" customHeight="1">
      <c r="A46" s="35" t="s">
        <v>90</v>
      </c>
      <c r="B46" s="36">
        <f>B13-B44</f>
        <v>52.92</v>
      </c>
      <c r="C46" s="36">
        <f>G13-C44</f>
        <v>228.0233333</v>
      </c>
      <c r="D46" s="17"/>
      <c r="E46" s="17"/>
      <c r="F46" s="31" t="s">
        <v>87</v>
      </c>
      <c r="G46" s="7"/>
      <c r="H46" s="7" t="s">
        <v>75</v>
      </c>
      <c r="I46" s="32">
        <v>9.0</v>
      </c>
      <c r="J46" s="12"/>
      <c r="K46" s="7" t="s">
        <v>54</v>
      </c>
      <c r="L46" s="7">
        <v>3.0</v>
      </c>
      <c r="M46" s="22">
        <f t="shared" si="2"/>
        <v>27</v>
      </c>
      <c r="N46" s="2">
        <f t="shared" si="3"/>
        <v>0.27</v>
      </c>
      <c r="O46" s="28">
        <f t="shared" si="5"/>
        <v>27</v>
      </c>
      <c r="P46" s="29">
        <f t="shared" si="6"/>
        <v>0.27</v>
      </c>
      <c r="Q46" s="30">
        <f t="shared" si="7"/>
        <v>27</v>
      </c>
      <c r="R46" s="29">
        <f t="shared" si="8"/>
        <v>0.27</v>
      </c>
    </row>
    <row r="47" ht="15.75" customHeight="1">
      <c r="A47" s="37" t="s">
        <v>91</v>
      </c>
      <c r="B47" s="38">
        <f>B46/B13</f>
        <v>0.007158200008</v>
      </c>
      <c r="C47" s="38">
        <f>C46/G13</f>
        <v>0.03084347367</v>
      </c>
      <c r="F47" s="31" t="s">
        <v>92</v>
      </c>
      <c r="G47" s="7"/>
      <c r="H47" s="7" t="s">
        <v>65</v>
      </c>
      <c r="I47" s="32">
        <v>18.94</v>
      </c>
      <c r="J47" s="12"/>
      <c r="K47" s="7" t="s">
        <v>54</v>
      </c>
      <c r="L47" s="7">
        <v>3.0</v>
      </c>
      <c r="M47" s="22">
        <f t="shared" si="2"/>
        <v>56.82</v>
      </c>
      <c r="N47" s="2">
        <f t="shared" si="3"/>
        <v>0.5682</v>
      </c>
      <c r="O47" s="28">
        <f t="shared" si="5"/>
        <v>56.82</v>
      </c>
      <c r="P47" s="29">
        <f t="shared" si="6"/>
        <v>0.5682</v>
      </c>
      <c r="Q47" s="30">
        <f t="shared" si="7"/>
        <v>56.82</v>
      </c>
      <c r="R47" s="29">
        <f t="shared" si="8"/>
        <v>0.5682</v>
      </c>
    </row>
    <row r="48" ht="15.75" customHeight="1">
      <c r="A48" s="37" t="s">
        <v>63</v>
      </c>
      <c r="C48" s="2">
        <f>Sum(C19+C36)</f>
        <v>600</v>
      </c>
      <c r="F48" s="31" t="s">
        <v>93</v>
      </c>
      <c r="G48" s="7"/>
      <c r="H48" s="7" t="s">
        <v>75</v>
      </c>
      <c r="I48" s="32">
        <v>6.57</v>
      </c>
      <c r="J48" s="12"/>
      <c r="K48" s="7" t="s">
        <v>54</v>
      </c>
      <c r="L48" s="7">
        <v>3.0</v>
      </c>
      <c r="M48" s="22">
        <f t="shared" si="2"/>
        <v>19.71</v>
      </c>
      <c r="N48" s="2">
        <f t="shared" si="3"/>
        <v>0.1971</v>
      </c>
      <c r="O48" s="28">
        <f t="shared" si="5"/>
        <v>19.71</v>
      </c>
      <c r="P48" s="29">
        <f t="shared" si="6"/>
        <v>0.1971</v>
      </c>
      <c r="Q48" s="30">
        <f t="shared" si="7"/>
        <v>19.71</v>
      </c>
      <c r="R48" s="29">
        <f t="shared" si="8"/>
        <v>0.1971</v>
      </c>
    </row>
    <row r="49" ht="15.75" customHeight="1">
      <c r="A49" s="37" t="s">
        <v>94</v>
      </c>
      <c r="B49" s="2"/>
      <c r="C49" s="2">
        <f>Sum(C25+C26+C35)</f>
        <v>2800</v>
      </c>
      <c r="F49" s="31" t="s">
        <v>95</v>
      </c>
      <c r="G49" s="7"/>
      <c r="H49" s="7" t="s">
        <v>74</v>
      </c>
      <c r="I49" s="32">
        <v>13.37</v>
      </c>
      <c r="J49" s="12"/>
      <c r="K49" s="7" t="s">
        <v>54</v>
      </c>
      <c r="L49" s="7">
        <v>1.0</v>
      </c>
      <c r="M49" s="22">
        <f t="shared" si="2"/>
        <v>13.37</v>
      </c>
      <c r="N49" s="2">
        <f t="shared" si="3"/>
        <v>0.1337</v>
      </c>
      <c r="O49" s="28">
        <f t="shared" si="5"/>
        <v>20.055</v>
      </c>
      <c r="P49" s="29">
        <f t="shared" si="6"/>
        <v>0.20055</v>
      </c>
      <c r="Q49" s="29">
        <f t="shared" si="7"/>
        <v>26.74</v>
      </c>
      <c r="R49" s="29">
        <f t="shared" si="8"/>
        <v>0.2674</v>
      </c>
    </row>
    <row r="50" ht="15.75" customHeight="1">
      <c r="F50" s="39" t="s">
        <v>96</v>
      </c>
      <c r="G50" s="7"/>
      <c r="H50" s="7" t="s">
        <v>65</v>
      </c>
      <c r="I50" s="32">
        <v>7.28</v>
      </c>
      <c r="J50" s="12"/>
      <c r="K50" s="7" t="s">
        <v>54</v>
      </c>
      <c r="L50" s="7">
        <v>1.0</v>
      </c>
      <c r="M50" s="22">
        <f t="shared" si="2"/>
        <v>7.28</v>
      </c>
      <c r="N50" s="2">
        <f t="shared" si="3"/>
        <v>0.0728</v>
      </c>
      <c r="O50" s="28">
        <f t="shared" si="5"/>
        <v>10.92</v>
      </c>
      <c r="P50" s="29">
        <f t="shared" si="6"/>
        <v>0.1092</v>
      </c>
      <c r="Q50" s="29">
        <f t="shared" si="7"/>
        <v>14.56</v>
      </c>
      <c r="R50" s="29">
        <f t="shared" si="8"/>
        <v>0.1456</v>
      </c>
    </row>
    <row r="51" ht="15.75" customHeight="1">
      <c r="A51" s="15" t="s">
        <v>97</v>
      </c>
      <c r="B51" s="40"/>
      <c r="C51" s="40">
        <f>sum(C46+C48+C49)</f>
        <v>3628.023333</v>
      </c>
      <c r="F51" s="39" t="s">
        <v>98</v>
      </c>
      <c r="G51" s="7"/>
      <c r="H51" s="7" t="s">
        <v>75</v>
      </c>
      <c r="I51" s="32">
        <v>17.38</v>
      </c>
      <c r="J51" s="12"/>
      <c r="K51" s="7" t="s">
        <v>54</v>
      </c>
      <c r="L51" s="7">
        <v>1.0</v>
      </c>
      <c r="M51" s="22">
        <f t="shared" si="2"/>
        <v>17.38</v>
      </c>
      <c r="N51" s="2">
        <f t="shared" si="3"/>
        <v>0.1738</v>
      </c>
      <c r="O51" s="28">
        <f t="shared" si="5"/>
        <v>26.07</v>
      </c>
      <c r="P51" s="29">
        <f t="shared" si="6"/>
        <v>0.2607</v>
      </c>
      <c r="Q51" s="29">
        <f t="shared" si="7"/>
        <v>34.76</v>
      </c>
      <c r="R51" s="29">
        <f t="shared" si="8"/>
        <v>0.3476</v>
      </c>
    </row>
    <row r="52" ht="15.75" customHeight="1">
      <c r="F52" s="31" t="s">
        <v>99</v>
      </c>
      <c r="G52" s="7"/>
      <c r="H52" s="7" t="s">
        <v>68</v>
      </c>
      <c r="I52" s="32">
        <v>9.0</v>
      </c>
      <c r="J52" s="12"/>
      <c r="K52" s="7" t="s">
        <v>54</v>
      </c>
      <c r="L52" s="7">
        <v>3.0</v>
      </c>
      <c r="M52" s="22">
        <f t="shared" si="2"/>
        <v>27</v>
      </c>
      <c r="N52" s="2">
        <f t="shared" si="3"/>
        <v>0.27</v>
      </c>
      <c r="O52" s="28">
        <f t="shared" si="5"/>
        <v>27</v>
      </c>
      <c r="P52" s="29">
        <f t="shared" si="6"/>
        <v>0.27</v>
      </c>
      <c r="Q52" s="30">
        <f t="shared" si="7"/>
        <v>27</v>
      </c>
      <c r="R52" s="29">
        <f t="shared" si="8"/>
        <v>0.27</v>
      </c>
    </row>
    <row r="53" ht="15.75" customHeight="1">
      <c r="A53" s="15" t="s">
        <v>100</v>
      </c>
      <c r="C53" s="22">
        <f> SUM(M18:M1000)</f>
        <v>10496.05</v>
      </c>
      <c r="F53" s="31" t="s">
        <v>101</v>
      </c>
      <c r="G53" s="7"/>
      <c r="H53" s="7" t="s">
        <v>65</v>
      </c>
      <c r="I53" s="32">
        <v>72.55</v>
      </c>
      <c r="J53" s="12"/>
      <c r="K53" s="7" t="s">
        <v>54</v>
      </c>
      <c r="L53" s="7">
        <v>3.0</v>
      </c>
      <c r="M53" s="22">
        <f t="shared" si="2"/>
        <v>217.65</v>
      </c>
      <c r="N53" s="2">
        <f t="shared" si="3"/>
        <v>2.1765</v>
      </c>
      <c r="O53" s="28">
        <f t="shared" si="5"/>
        <v>217.65</v>
      </c>
      <c r="P53" s="29">
        <f t="shared" si="6"/>
        <v>2.1765</v>
      </c>
      <c r="Q53" s="30">
        <f t="shared" si="7"/>
        <v>217.65</v>
      </c>
      <c r="R53" s="29">
        <f t="shared" si="8"/>
        <v>2.1765</v>
      </c>
    </row>
    <row r="54" ht="15.75" customHeight="1">
      <c r="A54" s="15" t="s">
        <v>102</v>
      </c>
      <c r="C54" s="2">
        <f> SUM(N18:N1000)</f>
        <v>104.9605</v>
      </c>
      <c r="F54" s="31" t="s">
        <v>103</v>
      </c>
      <c r="G54" s="7"/>
      <c r="H54" s="7" t="s">
        <v>61</v>
      </c>
      <c r="I54" s="32">
        <v>57.85</v>
      </c>
      <c r="J54" s="12"/>
      <c r="K54" s="7" t="s">
        <v>54</v>
      </c>
      <c r="L54" s="7">
        <v>1.0</v>
      </c>
      <c r="M54" s="22">
        <f t="shared" si="2"/>
        <v>57.85</v>
      </c>
      <c r="N54" s="2">
        <f t="shared" si="3"/>
        <v>0.5785</v>
      </c>
      <c r="O54" s="28">
        <f t="shared" si="5"/>
        <v>86.775</v>
      </c>
      <c r="P54" s="29">
        <f t="shared" si="6"/>
        <v>0.86775</v>
      </c>
      <c r="Q54" s="29">
        <f t="shared" si="7"/>
        <v>115.7</v>
      </c>
      <c r="R54" s="29">
        <f t="shared" si="8"/>
        <v>1.157</v>
      </c>
    </row>
    <row r="55" ht="15.75" customHeight="1">
      <c r="F55" s="31" t="s">
        <v>104</v>
      </c>
      <c r="G55" s="7"/>
      <c r="H55" s="7" t="s">
        <v>75</v>
      </c>
      <c r="I55" s="33">
        <v>-28.72</v>
      </c>
      <c r="J55" s="12"/>
      <c r="K55" s="7" t="s">
        <v>54</v>
      </c>
      <c r="L55" s="7">
        <v>0.0</v>
      </c>
      <c r="M55" s="22">
        <f t="shared" si="2"/>
        <v>0</v>
      </c>
      <c r="N55" s="2">
        <f t="shared" si="3"/>
        <v>0</v>
      </c>
      <c r="O55" s="28">
        <f t="shared" si="5"/>
        <v>0</v>
      </c>
      <c r="P55" s="29">
        <f t="shared" si="6"/>
        <v>0</v>
      </c>
      <c r="Q55" s="30">
        <f t="shared" si="7"/>
        <v>0</v>
      </c>
      <c r="R55" s="29">
        <f t="shared" si="8"/>
        <v>0</v>
      </c>
    </row>
    <row r="56" ht="15.75" customHeight="1">
      <c r="A56" s="41" t="s">
        <v>105</v>
      </c>
      <c r="B56" s="2"/>
      <c r="C56" s="30">
        <f> SUM(O18:O1000)</f>
        <v>11027.665</v>
      </c>
      <c r="F56" s="31" t="s">
        <v>106</v>
      </c>
      <c r="G56" s="7"/>
      <c r="H56" s="7" t="s">
        <v>75</v>
      </c>
      <c r="I56" s="33">
        <v>92.92</v>
      </c>
      <c r="J56" s="12"/>
      <c r="K56" s="7" t="s">
        <v>54</v>
      </c>
      <c r="L56" s="7">
        <v>0.0</v>
      </c>
      <c r="M56" s="22">
        <f t="shared" si="2"/>
        <v>0</v>
      </c>
      <c r="N56" s="2">
        <f t="shared" si="3"/>
        <v>0</v>
      </c>
      <c r="O56" s="28">
        <f t="shared" si="5"/>
        <v>0</v>
      </c>
      <c r="P56" s="29">
        <f t="shared" si="6"/>
        <v>0</v>
      </c>
      <c r="Q56" s="30">
        <f t="shared" si="7"/>
        <v>0</v>
      </c>
      <c r="R56" s="29">
        <f t="shared" si="8"/>
        <v>0</v>
      </c>
    </row>
    <row r="57" ht="15.75" customHeight="1">
      <c r="A57" s="18" t="s">
        <v>107</v>
      </c>
      <c r="C57" s="29">
        <f> SUM(P18:P1000)</f>
        <v>110.27665</v>
      </c>
      <c r="F57" s="31" t="s">
        <v>108</v>
      </c>
      <c r="G57" s="7"/>
      <c r="H57" s="7" t="s">
        <v>65</v>
      </c>
      <c r="I57" s="32">
        <v>-50.0</v>
      </c>
      <c r="J57" s="12"/>
      <c r="K57" s="7" t="s">
        <v>54</v>
      </c>
      <c r="L57" s="7">
        <v>0.0</v>
      </c>
      <c r="M57" s="22">
        <f t="shared" si="2"/>
        <v>0</v>
      </c>
      <c r="N57" s="2">
        <f t="shared" si="3"/>
        <v>0</v>
      </c>
      <c r="O57" s="28">
        <f t="shared" si="5"/>
        <v>0</v>
      </c>
      <c r="P57" s="29">
        <f t="shared" si="6"/>
        <v>0</v>
      </c>
      <c r="Q57" s="30">
        <f t="shared" si="7"/>
        <v>0</v>
      </c>
      <c r="R57" s="29">
        <f t="shared" si="8"/>
        <v>0</v>
      </c>
    </row>
    <row r="58" ht="15.75" customHeight="1">
      <c r="F58" s="31" t="s">
        <v>109</v>
      </c>
      <c r="G58" s="7"/>
      <c r="H58" s="7" t="s">
        <v>65</v>
      </c>
      <c r="I58" s="32">
        <v>85.06</v>
      </c>
      <c r="J58" s="12"/>
      <c r="K58" s="7" t="s">
        <v>54</v>
      </c>
      <c r="L58" s="7">
        <v>3.0</v>
      </c>
      <c r="M58" s="22">
        <f t="shared" si="2"/>
        <v>255.18</v>
      </c>
      <c r="N58" s="2">
        <f t="shared" si="3"/>
        <v>2.5518</v>
      </c>
      <c r="O58" s="28">
        <f t="shared" si="5"/>
        <v>255.18</v>
      </c>
      <c r="P58" s="29">
        <f t="shared" si="6"/>
        <v>2.5518</v>
      </c>
      <c r="Q58" s="30">
        <f t="shared" si="7"/>
        <v>255.18</v>
      </c>
      <c r="R58" s="29">
        <f t="shared" si="8"/>
        <v>2.5518</v>
      </c>
    </row>
    <row r="59" ht="15.75" customHeight="1">
      <c r="A59" s="18" t="s">
        <v>110</v>
      </c>
      <c r="B59" s="2"/>
      <c r="C59" s="29">
        <f> SUM(Q21:Q200)</f>
        <v>11559.28</v>
      </c>
      <c r="F59" s="31" t="s">
        <v>104</v>
      </c>
      <c r="G59" s="7"/>
      <c r="H59" s="7" t="s">
        <v>75</v>
      </c>
      <c r="I59" s="32">
        <v>-121.28</v>
      </c>
      <c r="J59" s="12"/>
      <c r="K59" s="7" t="s">
        <v>54</v>
      </c>
      <c r="L59" s="7">
        <v>0.0</v>
      </c>
      <c r="M59" s="22">
        <f t="shared" si="2"/>
        <v>0</v>
      </c>
      <c r="N59" s="2">
        <f t="shared" si="3"/>
        <v>0</v>
      </c>
      <c r="O59" s="28">
        <f t="shared" si="5"/>
        <v>0</v>
      </c>
      <c r="P59" s="29">
        <f t="shared" si="6"/>
        <v>0</v>
      </c>
      <c r="Q59" s="30">
        <f t="shared" si="7"/>
        <v>0</v>
      </c>
      <c r="R59" s="29">
        <f t="shared" si="8"/>
        <v>0</v>
      </c>
    </row>
    <row r="60" ht="15.75" customHeight="1">
      <c r="A60" s="18" t="s">
        <v>111</v>
      </c>
      <c r="B60" s="2"/>
      <c r="C60" s="42">
        <f> SUM(R18:R300)</f>
        <v>115.5928</v>
      </c>
      <c r="F60" s="31" t="s">
        <v>106</v>
      </c>
      <c r="G60" s="7"/>
      <c r="H60" s="7" t="s">
        <v>75</v>
      </c>
      <c r="I60" s="33">
        <v>60.28</v>
      </c>
      <c r="J60" s="12"/>
      <c r="K60" s="7" t="s">
        <v>54</v>
      </c>
      <c r="L60" s="7">
        <v>0.0</v>
      </c>
      <c r="M60" s="22">
        <f t="shared" si="2"/>
        <v>0</v>
      </c>
      <c r="N60" s="2">
        <f t="shared" si="3"/>
        <v>0</v>
      </c>
      <c r="O60" s="28">
        <f t="shared" si="5"/>
        <v>0</v>
      </c>
      <c r="P60" s="29">
        <f t="shared" si="6"/>
        <v>0</v>
      </c>
      <c r="Q60" s="30">
        <f t="shared" si="7"/>
        <v>0</v>
      </c>
      <c r="R60" s="29">
        <f t="shared" si="8"/>
        <v>0</v>
      </c>
    </row>
    <row r="61" ht="15.75" customHeight="1">
      <c r="B61" s="2"/>
      <c r="F61" s="31" t="s">
        <v>112</v>
      </c>
      <c r="G61" s="7"/>
      <c r="H61" s="7" t="s">
        <v>68</v>
      </c>
      <c r="I61" s="32">
        <v>56.18</v>
      </c>
      <c r="J61" s="12"/>
      <c r="K61" s="7" t="s">
        <v>54</v>
      </c>
      <c r="L61" s="7">
        <v>3.0</v>
      </c>
      <c r="M61" s="22">
        <f t="shared" si="2"/>
        <v>168.54</v>
      </c>
      <c r="N61" s="2">
        <f t="shared" si="3"/>
        <v>1.6854</v>
      </c>
      <c r="O61" s="28">
        <f t="shared" si="5"/>
        <v>168.54</v>
      </c>
      <c r="P61" s="29">
        <f t="shared" si="6"/>
        <v>1.6854</v>
      </c>
      <c r="Q61" s="30">
        <f t="shared" si="7"/>
        <v>168.54</v>
      </c>
      <c r="R61" s="29">
        <f t="shared" si="8"/>
        <v>1.6854</v>
      </c>
    </row>
    <row r="62" ht="15.75" customHeight="1">
      <c r="B62" s="2"/>
      <c r="F62" s="31" t="s">
        <v>113</v>
      </c>
      <c r="G62" s="7"/>
      <c r="H62" s="7" t="s">
        <v>65</v>
      </c>
      <c r="I62" s="32">
        <v>6.0</v>
      </c>
      <c r="J62" s="12"/>
      <c r="K62" s="7" t="s">
        <v>54</v>
      </c>
      <c r="L62" s="7">
        <v>3.0</v>
      </c>
      <c r="M62" s="22">
        <f t="shared" si="2"/>
        <v>18</v>
      </c>
      <c r="N62" s="2">
        <f t="shared" si="3"/>
        <v>0.18</v>
      </c>
      <c r="O62" s="28">
        <f t="shared" si="5"/>
        <v>18</v>
      </c>
      <c r="P62" s="29">
        <f t="shared" si="6"/>
        <v>0.18</v>
      </c>
      <c r="Q62" s="30">
        <f t="shared" si="7"/>
        <v>18</v>
      </c>
      <c r="R62" s="29">
        <f t="shared" si="8"/>
        <v>0.18</v>
      </c>
    </row>
    <row r="63" ht="15.75" customHeight="1">
      <c r="B63" s="2"/>
      <c r="F63" s="43" t="s">
        <v>114</v>
      </c>
      <c r="G63" s="7"/>
      <c r="H63" s="7" t="s">
        <v>65</v>
      </c>
      <c r="I63" s="32">
        <v>11.98</v>
      </c>
      <c r="J63" s="12"/>
      <c r="K63" s="7" t="s">
        <v>54</v>
      </c>
      <c r="L63" s="7">
        <v>3.0</v>
      </c>
      <c r="M63" s="22">
        <f t="shared" si="2"/>
        <v>35.94</v>
      </c>
      <c r="N63" s="2">
        <f t="shared" si="3"/>
        <v>0.3594</v>
      </c>
      <c r="O63" s="28">
        <f t="shared" si="5"/>
        <v>35.94</v>
      </c>
      <c r="P63" s="29">
        <f t="shared" si="6"/>
        <v>0.3594</v>
      </c>
      <c r="Q63" s="30">
        <f t="shared" si="7"/>
        <v>35.94</v>
      </c>
      <c r="R63" s="29">
        <f t="shared" si="8"/>
        <v>0.3594</v>
      </c>
    </row>
    <row r="64" ht="15.75" customHeight="1">
      <c r="B64" s="2"/>
      <c r="F64" s="39" t="s">
        <v>115</v>
      </c>
      <c r="G64" s="7"/>
      <c r="H64" s="7" t="s">
        <v>68</v>
      </c>
      <c r="I64" s="32">
        <v>5.0</v>
      </c>
      <c r="J64" s="12"/>
      <c r="K64" s="7" t="s">
        <v>54</v>
      </c>
      <c r="L64" s="7">
        <v>0.0</v>
      </c>
      <c r="M64" s="22">
        <f t="shared" si="2"/>
        <v>0</v>
      </c>
      <c r="N64" s="2">
        <f t="shared" si="3"/>
        <v>0</v>
      </c>
      <c r="O64" s="28">
        <f t="shared" si="5"/>
        <v>0</v>
      </c>
      <c r="P64" s="29">
        <f t="shared" si="6"/>
        <v>0</v>
      </c>
      <c r="Q64" s="30">
        <f t="shared" si="7"/>
        <v>0</v>
      </c>
      <c r="R64" s="29">
        <f t="shared" si="8"/>
        <v>0</v>
      </c>
    </row>
    <row r="65" ht="15.75" customHeight="1">
      <c r="B65" s="2"/>
      <c r="F65" s="31" t="s">
        <v>79</v>
      </c>
      <c r="G65" s="7"/>
      <c r="H65" s="7" t="s">
        <v>74</v>
      </c>
      <c r="I65" s="32">
        <v>5.91</v>
      </c>
      <c r="J65" s="12"/>
      <c r="K65" s="7" t="s">
        <v>54</v>
      </c>
      <c r="L65" s="7">
        <v>0.0</v>
      </c>
      <c r="M65" s="22">
        <f t="shared" si="2"/>
        <v>0</v>
      </c>
      <c r="N65" s="2">
        <f t="shared" si="3"/>
        <v>0</v>
      </c>
      <c r="O65" s="28">
        <f t="shared" si="5"/>
        <v>0</v>
      </c>
      <c r="P65" s="29">
        <f t="shared" si="6"/>
        <v>0</v>
      </c>
      <c r="Q65" s="30">
        <f t="shared" si="7"/>
        <v>0</v>
      </c>
      <c r="R65" s="29">
        <f t="shared" si="8"/>
        <v>0</v>
      </c>
    </row>
    <row r="66" ht="15.75" customHeight="1">
      <c r="B66" s="2"/>
      <c r="F66" s="31" t="s">
        <v>116</v>
      </c>
      <c r="G66" s="7"/>
      <c r="H66" s="7"/>
      <c r="I66" s="32">
        <v>745.49</v>
      </c>
      <c r="J66" s="12"/>
      <c r="K66" s="7" t="s">
        <v>54</v>
      </c>
      <c r="L66" s="7">
        <v>0.0</v>
      </c>
      <c r="M66" s="22">
        <f t="shared" si="2"/>
        <v>0</v>
      </c>
      <c r="N66" s="2">
        <f t="shared" si="3"/>
        <v>0</v>
      </c>
      <c r="O66" s="28">
        <f t="shared" si="5"/>
        <v>0</v>
      </c>
      <c r="P66" s="29">
        <f t="shared" si="6"/>
        <v>0</v>
      </c>
      <c r="Q66" s="30">
        <f t="shared" si="7"/>
        <v>0</v>
      </c>
      <c r="R66" s="29">
        <f t="shared" si="8"/>
        <v>0</v>
      </c>
    </row>
    <row r="67" ht="15.75" customHeight="1">
      <c r="B67" s="2"/>
      <c r="F67" s="31" t="s">
        <v>117</v>
      </c>
      <c r="G67" s="7"/>
      <c r="H67" s="7" t="s">
        <v>74</v>
      </c>
      <c r="I67" s="32">
        <v>-359.0</v>
      </c>
      <c r="J67" s="44"/>
      <c r="K67" s="7" t="s">
        <v>54</v>
      </c>
      <c r="L67" s="7">
        <v>0.0</v>
      </c>
      <c r="M67" s="22">
        <f t="shared" si="2"/>
        <v>0</v>
      </c>
      <c r="N67" s="2">
        <f t="shared" si="3"/>
        <v>0</v>
      </c>
      <c r="O67" s="28">
        <f t="shared" si="5"/>
        <v>0</v>
      </c>
      <c r="P67" s="29">
        <f t="shared" si="6"/>
        <v>0</v>
      </c>
      <c r="Q67" s="30">
        <f t="shared" si="7"/>
        <v>0</v>
      </c>
      <c r="R67" s="29">
        <f t="shared" si="8"/>
        <v>0</v>
      </c>
    </row>
    <row r="68" ht="15.75" customHeight="1">
      <c r="B68" s="2"/>
      <c r="F68" s="31" t="s">
        <v>108</v>
      </c>
      <c r="G68" s="7"/>
      <c r="H68" s="7" t="s">
        <v>65</v>
      </c>
      <c r="I68" s="32">
        <v>-100.0</v>
      </c>
      <c r="J68" s="12"/>
      <c r="K68" s="7" t="s">
        <v>54</v>
      </c>
      <c r="L68" s="7">
        <v>0.0</v>
      </c>
      <c r="M68" s="22">
        <f t="shared" si="2"/>
        <v>0</v>
      </c>
      <c r="N68" s="2">
        <f t="shared" si="3"/>
        <v>0</v>
      </c>
      <c r="O68" s="28">
        <f t="shared" si="5"/>
        <v>0</v>
      </c>
      <c r="P68" s="29">
        <f t="shared" si="6"/>
        <v>0</v>
      </c>
      <c r="Q68" s="30">
        <f t="shared" si="7"/>
        <v>0</v>
      </c>
      <c r="R68" s="29">
        <f t="shared" si="8"/>
        <v>0</v>
      </c>
    </row>
    <row r="69" ht="15.75" customHeight="1">
      <c r="B69" s="2"/>
      <c r="F69" s="31" t="s">
        <v>118</v>
      </c>
      <c r="G69" s="7"/>
      <c r="H69" s="7" t="s">
        <v>65</v>
      </c>
      <c r="I69" s="32">
        <v>100.0</v>
      </c>
      <c r="J69" s="12"/>
      <c r="K69" s="7" t="s">
        <v>54</v>
      </c>
      <c r="L69" s="7">
        <v>0.0</v>
      </c>
      <c r="M69" s="22">
        <f t="shared" si="2"/>
        <v>0</v>
      </c>
      <c r="N69" s="2">
        <f t="shared" si="3"/>
        <v>0</v>
      </c>
      <c r="O69" s="28">
        <f t="shared" si="5"/>
        <v>0</v>
      </c>
      <c r="P69" s="29">
        <f t="shared" si="6"/>
        <v>0</v>
      </c>
      <c r="Q69" s="30">
        <f t="shared" si="7"/>
        <v>0</v>
      </c>
      <c r="R69" s="29">
        <f t="shared" si="8"/>
        <v>0</v>
      </c>
    </row>
    <row r="70" ht="15.75" customHeight="1">
      <c r="B70" s="2"/>
      <c r="F70" s="31" t="s">
        <v>119</v>
      </c>
      <c r="G70" s="7"/>
      <c r="H70" s="7" t="s">
        <v>65</v>
      </c>
      <c r="I70" s="32">
        <v>14.1</v>
      </c>
      <c r="J70" s="12"/>
      <c r="K70" s="7" t="s">
        <v>54</v>
      </c>
      <c r="L70" s="7">
        <v>3.0</v>
      </c>
      <c r="M70" s="22">
        <f t="shared" si="2"/>
        <v>42.3</v>
      </c>
      <c r="N70" s="2">
        <f t="shared" si="3"/>
        <v>0.423</v>
      </c>
      <c r="O70" s="28">
        <f t="shared" si="5"/>
        <v>42.3</v>
      </c>
      <c r="P70" s="29">
        <f t="shared" si="6"/>
        <v>0.423</v>
      </c>
      <c r="Q70" s="30">
        <f t="shared" si="7"/>
        <v>42.3</v>
      </c>
      <c r="R70" s="29">
        <f t="shared" si="8"/>
        <v>0.423</v>
      </c>
    </row>
    <row r="71" ht="15.75" customHeight="1">
      <c r="B71" s="2"/>
      <c r="F71" s="31" t="s">
        <v>120</v>
      </c>
      <c r="G71" s="7"/>
      <c r="H71" s="7" t="s">
        <v>65</v>
      </c>
      <c r="I71" s="32">
        <v>27.38</v>
      </c>
      <c r="J71" s="12"/>
      <c r="K71" s="7" t="s">
        <v>54</v>
      </c>
      <c r="L71" s="7">
        <v>3.0</v>
      </c>
      <c r="M71" s="22">
        <f t="shared" si="2"/>
        <v>82.14</v>
      </c>
      <c r="N71" s="2">
        <f t="shared" si="3"/>
        <v>0.8214</v>
      </c>
      <c r="O71" s="28">
        <f t="shared" si="5"/>
        <v>82.14</v>
      </c>
      <c r="P71" s="29">
        <f t="shared" si="6"/>
        <v>0.8214</v>
      </c>
      <c r="Q71" s="30">
        <f t="shared" si="7"/>
        <v>82.14</v>
      </c>
      <c r="R71" s="29">
        <f t="shared" si="8"/>
        <v>0.8214</v>
      </c>
    </row>
    <row r="72" ht="15.75" customHeight="1">
      <c r="B72" s="2"/>
      <c r="F72" s="31" t="s">
        <v>119</v>
      </c>
      <c r="G72" s="7"/>
      <c r="H72" s="7" t="s">
        <v>65</v>
      </c>
      <c r="I72" s="32">
        <v>14.1</v>
      </c>
      <c r="J72" s="12"/>
      <c r="K72" s="7" t="s">
        <v>54</v>
      </c>
      <c r="L72" s="7">
        <v>3.0</v>
      </c>
      <c r="M72" s="22">
        <f t="shared" si="2"/>
        <v>42.3</v>
      </c>
      <c r="N72" s="2">
        <f t="shared" si="3"/>
        <v>0.423</v>
      </c>
      <c r="O72" s="28">
        <f t="shared" si="5"/>
        <v>42.3</v>
      </c>
      <c r="P72" s="29">
        <f t="shared" si="6"/>
        <v>0.423</v>
      </c>
      <c r="Q72" s="30">
        <f t="shared" si="7"/>
        <v>42.3</v>
      </c>
      <c r="R72" s="29">
        <f t="shared" si="8"/>
        <v>0.423</v>
      </c>
    </row>
    <row r="73" ht="15.75" customHeight="1">
      <c r="B73" s="2"/>
      <c r="F73" s="31" t="s">
        <v>121</v>
      </c>
      <c r="G73" s="7"/>
      <c r="H73" s="7" t="s">
        <v>68</v>
      </c>
      <c r="I73" s="32">
        <v>12.84</v>
      </c>
      <c r="J73" s="12"/>
      <c r="K73" s="7" t="s">
        <v>54</v>
      </c>
      <c r="L73" s="7">
        <v>3.0</v>
      </c>
      <c r="M73" s="22">
        <f t="shared" si="2"/>
        <v>38.52</v>
      </c>
      <c r="N73" s="2">
        <f t="shared" si="3"/>
        <v>0.3852</v>
      </c>
      <c r="O73" s="28">
        <f t="shared" si="5"/>
        <v>38.52</v>
      </c>
      <c r="P73" s="29">
        <f t="shared" si="6"/>
        <v>0.3852</v>
      </c>
      <c r="Q73" s="30">
        <f t="shared" si="7"/>
        <v>38.52</v>
      </c>
      <c r="R73" s="29">
        <f t="shared" si="8"/>
        <v>0.3852</v>
      </c>
    </row>
    <row r="74" ht="15.75" customHeight="1">
      <c r="B74" s="2"/>
      <c r="F74" s="31" t="s">
        <v>86</v>
      </c>
      <c r="G74" s="7"/>
      <c r="H74" s="7" t="s">
        <v>70</v>
      </c>
      <c r="I74" s="32">
        <v>35.0</v>
      </c>
      <c r="J74" s="12"/>
      <c r="K74" s="7" t="s">
        <v>54</v>
      </c>
      <c r="L74" s="7">
        <v>1.0</v>
      </c>
      <c r="M74" s="22">
        <f t="shared" si="2"/>
        <v>35</v>
      </c>
      <c r="N74" s="2">
        <f t="shared" si="3"/>
        <v>0.35</v>
      </c>
      <c r="O74" s="28">
        <f t="shared" si="5"/>
        <v>52.5</v>
      </c>
      <c r="P74" s="29">
        <f t="shared" si="6"/>
        <v>0.525</v>
      </c>
      <c r="Q74" s="29">
        <f t="shared" si="7"/>
        <v>70</v>
      </c>
      <c r="R74" s="29">
        <f t="shared" si="8"/>
        <v>0.7</v>
      </c>
    </row>
    <row r="75" ht="15.75" customHeight="1">
      <c r="B75" s="2"/>
      <c r="F75" s="31" t="s">
        <v>122</v>
      </c>
      <c r="G75" s="7"/>
      <c r="H75" s="7" t="s">
        <v>70</v>
      </c>
      <c r="I75" s="32">
        <v>38.66</v>
      </c>
      <c r="J75" s="12"/>
      <c r="K75" s="7" t="s">
        <v>54</v>
      </c>
      <c r="L75" s="7">
        <v>3.0</v>
      </c>
      <c r="M75" s="22">
        <f t="shared" si="2"/>
        <v>115.98</v>
      </c>
      <c r="N75" s="2">
        <f t="shared" si="3"/>
        <v>1.1598</v>
      </c>
      <c r="O75" s="28">
        <f t="shared" si="5"/>
        <v>115.98</v>
      </c>
      <c r="P75" s="29">
        <f t="shared" si="6"/>
        <v>1.1598</v>
      </c>
      <c r="Q75" s="30">
        <f t="shared" si="7"/>
        <v>115.98</v>
      </c>
      <c r="R75" s="29">
        <f t="shared" si="8"/>
        <v>1.1598</v>
      </c>
    </row>
    <row r="76" ht="15.75" customHeight="1">
      <c r="B76" s="2"/>
      <c r="F76" s="31" t="s">
        <v>123</v>
      </c>
      <c r="G76" s="7"/>
      <c r="H76" s="7" t="s">
        <v>70</v>
      </c>
      <c r="I76" s="32">
        <v>625.0</v>
      </c>
      <c r="J76" s="12"/>
      <c r="K76" s="7" t="s">
        <v>54</v>
      </c>
      <c r="L76" s="7">
        <v>0.0</v>
      </c>
      <c r="M76" s="22">
        <f t="shared" si="2"/>
        <v>0</v>
      </c>
      <c r="N76" s="2">
        <f t="shared" si="3"/>
        <v>0</v>
      </c>
      <c r="O76" s="28">
        <f t="shared" si="5"/>
        <v>0</v>
      </c>
      <c r="P76" s="29">
        <f t="shared" si="6"/>
        <v>0</v>
      </c>
      <c r="Q76" s="30">
        <f t="shared" si="7"/>
        <v>0</v>
      </c>
      <c r="R76" s="29">
        <f t="shared" si="8"/>
        <v>0</v>
      </c>
    </row>
    <row r="77" ht="15.75" customHeight="1">
      <c r="B77" s="2"/>
      <c r="F77" s="31" t="s">
        <v>124</v>
      </c>
      <c r="G77" s="7"/>
      <c r="H77" s="7" t="s">
        <v>65</v>
      </c>
      <c r="I77" s="32">
        <v>11.6</v>
      </c>
      <c r="J77" s="12"/>
      <c r="K77" s="7" t="s">
        <v>54</v>
      </c>
      <c r="L77" s="7">
        <v>1.0</v>
      </c>
      <c r="M77" s="22">
        <f t="shared" si="2"/>
        <v>11.6</v>
      </c>
      <c r="N77" s="2">
        <f t="shared" si="3"/>
        <v>0.116</v>
      </c>
      <c r="O77" s="28">
        <f t="shared" si="5"/>
        <v>17.4</v>
      </c>
      <c r="P77" s="29">
        <f t="shared" si="6"/>
        <v>0.174</v>
      </c>
      <c r="Q77" s="29">
        <f t="shared" si="7"/>
        <v>23.2</v>
      </c>
      <c r="R77" s="29">
        <f t="shared" si="8"/>
        <v>0.232</v>
      </c>
    </row>
    <row r="78" ht="15.75" customHeight="1">
      <c r="B78" s="2"/>
      <c r="F78" s="39" t="s">
        <v>125</v>
      </c>
      <c r="G78" s="7"/>
      <c r="H78" s="7" t="s">
        <v>75</v>
      </c>
      <c r="I78" s="32">
        <v>44.52</v>
      </c>
      <c r="J78" s="44"/>
      <c r="K78" s="7" t="s">
        <v>54</v>
      </c>
      <c r="L78" s="7">
        <v>1.0</v>
      </c>
      <c r="M78" s="22">
        <f t="shared" si="2"/>
        <v>44.52</v>
      </c>
      <c r="N78" s="2">
        <f t="shared" si="3"/>
        <v>0.4452</v>
      </c>
      <c r="O78" s="28">
        <f t="shared" si="5"/>
        <v>66.78</v>
      </c>
      <c r="P78" s="29">
        <f t="shared" si="6"/>
        <v>0.6678</v>
      </c>
      <c r="Q78" s="29">
        <f t="shared" si="7"/>
        <v>89.04</v>
      </c>
      <c r="R78" s="29">
        <f t="shared" si="8"/>
        <v>0.8904</v>
      </c>
    </row>
    <row r="79" ht="15.75" customHeight="1">
      <c r="B79" s="2"/>
      <c r="F79" s="31" t="s">
        <v>85</v>
      </c>
      <c r="G79" s="7"/>
      <c r="H79" s="7" t="s">
        <v>61</v>
      </c>
      <c r="I79" s="32">
        <v>35.8</v>
      </c>
      <c r="J79" s="12"/>
      <c r="K79" s="7" t="s">
        <v>54</v>
      </c>
      <c r="L79" s="7">
        <v>1.0</v>
      </c>
      <c r="M79" s="22">
        <f t="shared" si="2"/>
        <v>35.8</v>
      </c>
      <c r="N79" s="2">
        <f t="shared" si="3"/>
        <v>0.358</v>
      </c>
      <c r="O79" s="28">
        <f t="shared" si="5"/>
        <v>53.7</v>
      </c>
      <c r="P79" s="29">
        <f t="shared" si="6"/>
        <v>0.537</v>
      </c>
      <c r="Q79" s="29">
        <f t="shared" si="7"/>
        <v>71.6</v>
      </c>
      <c r="R79" s="29">
        <f t="shared" si="8"/>
        <v>0.716</v>
      </c>
    </row>
    <row r="80" ht="15.75" customHeight="1">
      <c r="B80" s="2"/>
      <c r="F80" s="31" t="s">
        <v>86</v>
      </c>
      <c r="G80" s="7"/>
      <c r="H80" s="7" t="s">
        <v>70</v>
      </c>
      <c r="I80" s="32">
        <v>35.0</v>
      </c>
      <c r="J80" s="12"/>
      <c r="K80" s="7" t="s">
        <v>54</v>
      </c>
      <c r="L80" s="7">
        <v>1.0</v>
      </c>
      <c r="M80" s="22">
        <f t="shared" si="2"/>
        <v>35</v>
      </c>
      <c r="N80" s="2">
        <f t="shared" si="3"/>
        <v>0.35</v>
      </c>
      <c r="O80" s="28">
        <f t="shared" si="5"/>
        <v>52.5</v>
      </c>
      <c r="P80" s="29">
        <f t="shared" si="6"/>
        <v>0.525</v>
      </c>
      <c r="Q80" s="29">
        <f t="shared" si="7"/>
        <v>70</v>
      </c>
      <c r="R80" s="29">
        <f t="shared" si="8"/>
        <v>0.7</v>
      </c>
    </row>
    <row r="81" ht="15.75" customHeight="1">
      <c r="B81" s="2"/>
      <c r="F81" s="31" t="s">
        <v>126</v>
      </c>
      <c r="G81" s="7"/>
      <c r="H81" s="7" t="s">
        <v>74</v>
      </c>
      <c r="I81" s="32">
        <v>20.69</v>
      </c>
      <c r="J81" s="12"/>
      <c r="K81" s="7" t="s">
        <v>54</v>
      </c>
      <c r="L81" s="7">
        <v>1.0</v>
      </c>
      <c r="M81" s="22">
        <f t="shared" si="2"/>
        <v>20.69</v>
      </c>
      <c r="N81" s="2">
        <f t="shared" si="3"/>
        <v>0.2069</v>
      </c>
      <c r="O81" s="28">
        <f t="shared" si="5"/>
        <v>31.035</v>
      </c>
      <c r="P81" s="29">
        <f t="shared" si="6"/>
        <v>0.31035</v>
      </c>
      <c r="Q81" s="29">
        <f t="shared" si="7"/>
        <v>41.38</v>
      </c>
      <c r="R81" s="29">
        <f t="shared" si="8"/>
        <v>0.4138</v>
      </c>
    </row>
    <row r="82" ht="15.75" customHeight="1">
      <c r="B82" s="2"/>
      <c r="F82" s="31" t="s">
        <v>86</v>
      </c>
      <c r="G82" s="7"/>
      <c r="H82" s="7" t="s">
        <v>70</v>
      </c>
      <c r="I82" s="32">
        <v>35.0</v>
      </c>
      <c r="J82" s="12"/>
      <c r="K82" s="7" t="s">
        <v>54</v>
      </c>
      <c r="L82" s="7">
        <v>1.0</v>
      </c>
      <c r="M82" s="22">
        <f t="shared" si="2"/>
        <v>35</v>
      </c>
      <c r="N82" s="2">
        <f t="shared" si="3"/>
        <v>0.35</v>
      </c>
      <c r="O82" s="28">
        <f t="shared" si="5"/>
        <v>52.5</v>
      </c>
      <c r="P82" s="29">
        <f t="shared" si="6"/>
        <v>0.525</v>
      </c>
      <c r="Q82" s="29">
        <f t="shared" si="7"/>
        <v>70</v>
      </c>
      <c r="R82" s="29">
        <f t="shared" si="8"/>
        <v>0.7</v>
      </c>
    </row>
    <row r="83" ht="15.75" customHeight="1">
      <c r="B83" s="2"/>
      <c r="F83" s="39" t="s">
        <v>127</v>
      </c>
      <c r="G83" s="7"/>
      <c r="H83" s="7" t="s">
        <v>74</v>
      </c>
      <c r="I83" s="32">
        <v>390.86</v>
      </c>
      <c r="J83" s="12"/>
      <c r="K83" s="7" t="s">
        <v>54</v>
      </c>
      <c r="L83" s="7">
        <v>0.0</v>
      </c>
      <c r="M83" s="22">
        <f t="shared" si="2"/>
        <v>0</v>
      </c>
      <c r="N83" s="2">
        <f t="shared" si="3"/>
        <v>0</v>
      </c>
      <c r="O83" s="28">
        <f t="shared" si="5"/>
        <v>0</v>
      </c>
      <c r="P83" s="29">
        <f t="shared" si="6"/>
        <v>0</v>
      </c>
      <c r="Q83" s="30">
        <f t="shared" si="7"/>
        <v>0</v>
      </c>
      <c r="R83" s="29">
        <f t="shared" si="8"/>
        <v>0</v>
      </c>
    </row>
    <row r="84" ht="15.75" customHeight="1">
      <c r="B84" s="2"/>
      <c r="F84" s="31" t="s">
        <v>128</v>
      </c>
      <c r="G84" s="7"/>
      <c r="H84" s="7" t="s">
        <v>74</v>
      </c>
      <c r="I84" s="32">
        <v>-288.0</v>
      </c>
      <c r="J84" s="12"/>
      <c r="K84" s="7" t="s">
        <v>54</v>
      </c>
      <c r="L84" s="7">
        <v>0.0</v>
      </c>
      <c r="M84" s="22">
        <f t="shared" si="2"/>
        <v>0</v>
      </c>
      <c r="N84" s="2">
        <f t="shared" si="3"/>
        <v>0</v>
      </c>
      <c r="O84" s="28">
        <f t="shared" si="5"/>
        <v>0</v>
      </c>
      <c r="P84" s="29">
        <f t="shared" si="6"/>
        <v>0</v>
      </c>
      <c r="Q84" s="30">
        <f t="shared" si="7"/>
        <v>0</v>
      </c>
      <c r="R84" s="29">
        <f t="shared" si="8"/>
        <v>0</v>
      </c>
    </row>
    <row r="85" ht="15.75" customHeight="1">
      <c r="B85" s="2"/>
      <c r="F85" s="31" t="s">
        <v>129</v>
      </c>
      <c r="G85" s="7"/>
      <c r="H85" s="7" t="s">
        <v>70</v>
      </c>
      <c r="I85" s="32">
        <v>1150.42</v>
      </c>
      <c r="J85" s="12"/>
      <c r="K85" s="7" t="s">
        <v>54</v>
      </c>
      <c r="L85" s="7">
        <v>5.0</v>
      </c>
      <c r="M85" s="22">
        <f t="shared" si="2"/>
        <v>5752.1</v>
      </c>
      <c r="N85" s="2">
        <f t="shared" si="3"/>
        <v>57.521</v>
      </c>
      <c r="O85" s="28">
        <f t="shared" si="5"/>
        <v>5752.1</v>
      </c>
      <c r="P85" s="29">
        <f t="shared" si="6"/>
        <v>57.521</v>
      </c>
      <c r="Q85" s="30">
        <f t="shared" si="7"/>
        <v>5752.1</v>
      </c>
      <c r="R85" s="29">
        <f t="shared" si="8"/>
        <v>57.521</v>
      </c>
    </row>
    <row r="86" ht="15.75" customHeight="1">
      <c r="B86" s="2"/>
      <c r="F86" s="31" t="s">
        <v>128</v>
      </c>
      <c r="G86" s="7"/>
      <c r="H86" s="7" t="s">
        <v>74</v>
      </c>
      <c r="I86" s="32">
        <v>-3.0</v>
      </c>
      <c r="J86" s="12"/>
      <c r="K86" s="7" t="s">
        <v>54</v>
      </c>
      <c r="L86" s="7">
        <v>0.0</v>
      </c>
      <c r="M86" s="22">
        <f t="shared" si="2"/>
        <v>0</v>
      </c>
      <c r="N86" s="2">
        <f t="shared" si="3"/>
        <v>0</v>
      </c>
      <c r="O86" s="28">
        <f t="shared" si="5"/>
        <v>0</v>
      </c>
      <c r="P86" s="29">
        <f t="shared" si="6"/>
        <v>0</v>
      </c>
      <c r="Q86" s="30">
        <f t="shared" si="7"/>
        <v>0</v>
      </c>
      <c r="R86" s="29">
        <f t="shared" si="8"/>
        <v>0</v>
      </c>
    </row>
    <row r="87" ht="15.75" customHeight="1">
      <c r="B87" s="2"/>
      <c r="F87" s="31" t="s">
        <v>130</v>
      </c>
      <c r="G87" s="7"/>
      <c r="H87" s="7" t="s">
        <v>65</v>
      </c>
      <c r="I87" s="32">
        <v>8.7</v>
      </c>
      <c r="J87" s="12"/>
      <c r="K87" s="7" t="s">
        <v>54</v>
      </c>
      <c r="L87" s="7">
        <v>3.0</v>
      </c>
      <c r="M87" s="22">
        <f t="shared" si="2"/>
        <v>26.1</v>
      </c>
      <c r="N87" s="2">
        <f t="shared" si="3"/>
        <v>0.261</v>
      </c>
      <c r="O87" s="28">
        <f t="shared" si="5"/>
        <v>26.1</v>
      </c>
      <c r="P87" s="29">
        <f t="shared" si="6"/>
        <v>0.261</v>
      </c>
      <c r="Q87" s="30">
        <f t="shared" si="7"/>
        <v>26.1</v>
      </c>
      <c r="R87" s="29">
        <f t="shared" si="8"/>
        <v>0.261</v>
      </c>
    </row>
    <row r="88" ht="15.75" customHeight="1">
      <c r="B88" s="2"/>
      <c r="F88" s="31" t="s">
        <v>103</v>
      </c>
      <c r="G88" s="7"/>
      <c r="H88" s="7" t="s">
        <v>61</v>
      </c>
      <c r="I88" s="32">
        <v>43.88</v>
      </c>
      <c r="J88" s="12"/>
      <c r="K88" s="7" t="s">
        <v>54</v>
      </c>
      <c r="L88" s="7">
        <v>1.0</v>
      </c>
      <c r="M88" s="22">
        <f t="shared" si="2"/>
        <v>43.88</v>
      </c>
      <c r="N88" s="2">
        <f t="shared" si="3"/>
        <v>0.4388</v>
      </c>
      <c r="O88" s="28">
        <f t="shared" si="5"/>
        <v>65.82</v>
      </c>
      <c r="P88" s="29">
        <f t="shared" si="6"/>
        <v>0.6582</v>
      </c>
      <c r="Q88" s="29">
        <f t="shared" si="7"/>
        <v>87.76</v>
      </c>
      <c r="R88" s="29">
        <f t="shared" si="8"/>
        <v>0.8776</v>
      </c>
    </row>
    <row r="89" ht="15.75" customHeight="1">
      <c r="B89" s="2"/>
      <c r="F89" s="31" t="s">
        <v>131</v>
      </c>
      <c r="G89" s="7"/>
      <c r="H89" s="7" t="s">
        <v>61</v>
      </c>
      <c r="I89" s="32">
        <v>67.65</v>
      </c>
      <c r="J89" s="12"/>
      <c r="K89" s="7" t="s">
        <v>54</v>
      </c>
      <c r="L89" s="7">
        <v>1.0</v>
      </c>
      <c r="M89" s="22">
        <f t="shared" si="2"/>
        <v>67.65</v>
      </c>
      <c r="N89" s="2">
        <f t="shared" si="3"/>
        <v>0.6765</v>
      </c>
      <c r="O89" s="28">
        <f t="shared" si="5"/>
        <v>101.475</v>
      </c>
      <c r="P89" s="29">
        <f t="shared" si="6"/>
        <v>1.01475</v>
      </c>
      <c r="Q89" s="29">
        <f t="shared" si="7"/>
        <v>135.3</v>
      </c>
      <c r="R89" s="29">
        <f t="shared" si="8"/>
        <v>1.353</v>
      </c>
    </row>
    <row r="90" ht="15.75" customHeight="1">
      <c r="B90" s="2"/>
      <c r="F90" s="31" t="s">
        <v>128</v>
      </c>
      <c r="G90" s="7"/>
      <c r="H90" s="7" t="s">
        <v>74</v>
      </c>
      <c r="I90" s="32">
        <v>-3.0</v>
      </c>
      <c r="J90" s="12"/>
      <c r="K90" s="7" t="s">
        <v>54</v>
      </c>
      <c r="L90" s="7">
        <v>0.0</v>
      </c>
      <c r="M90" s="22">
        <f t="shared" si="2"/>
        <v>0</v>
      </c>
      <c r="N90" s="2">
        <f t="shared" si="3"/>
        <v>0</v>
      </c>
      <c r="O90" s="28">
        <f t="shared" si="5"/>
        <v>0</v>
      </c>
      <c r="P90" s="29">
        <f t="shared" si="6"/>
        <v>0</v>
      </c>
      <c r="Q90" s="30">
        <f t="shared" si="7"/>
        <v>0</v>
      </c>
      <c r="R90" s="29">
        <f t="shared" si="8"/>
        <v>0</v>
      </c>
    </row>
    <row r="91" ht="15.75" customHeight="1">
      <c r="B91" s="2"/>
      <c r="F91" s="31" t="s">
        <v>128</v>
      </c>
      <c r="G91" s="7"/>
      <c r="H91" s="7" t="s">
        <v>74</v>
      </c>
      <c r="I91" s="32">
        <v>-3.0</v>
      </c>
      <c r="J91" s="12"/>
      <c r="K91" s="7" t="s">
        <v>54</v>
      </c>
      <c r="L91" s="7">
        <v>0.0</v>
      </c>
      <c r="M91" s="22">
        <f t="shared" si="2"/>
        <v>0</v>
      </c>
      <c r="N91" s="2">
        <f t="shared" si="3"/>
        <v>0</v>
      </c>
      <c r="O91" s="28">
        <f t="shared" si="5"/>
        <v>0</v>
      </c>
      <c r="P91" s="29">
        <f t="shared" si="6"/>
        <v>0</v>
      </c>
      <c r="Q91" s="30">
        <f t="shared" si="7"/>
        <v>0</v>
      </c>
      <c r="R91" s="29">
        <f t="shared" si="8"/>
        <v>0</v>
      </c>
    </row>
    <row r="92" ht="15.75" customHeight="1">
      <c r="B92" s="2"/>
      <c r="F92" s="31" t="s">
        <v>103</v>
      </c>
      <c r="G92" s="7"/>
      <c r="H92" s="7" t="s">
        <v>65</v>
      </c>
      <c r="I92" s="32">
        <v>55.37</v>
      </c>
      <c r="J92" s="12"/>
      <c r="K92" s="7" t="s">
        <v>54</v>
      </c>
      <c r="L92" s="7">
        <v>1.0</v>
      </c>
      <c r="M92" s="22">
        <f t="shared" si="2"/>
        <v>55.37</v>
      </c>
      <c r="N92" s="2">
        <f t="shared" si="3"/>
        <v>0.5537</v>
      </c>
      <c r="O92" s="28">
        <f t="shared" si="5"/>
        <v>83.055</v>
      </c>
      <c r="P92" s="29">
        <f t="shared" si="6"/>
        <v>0.83055</v>
      </c>
      <c r="Q92" s="29">
        <f t="shared" si="7"/>
        <v>110.74</v>
      </c>
      <c r="R92" s="29">
        <f t="shared" si="8"/>
        <v>1.1074</v>
      </c>
    </row>
    <row r="93" ht="15.75" customHeight="1">
      <c r="B93" s="2"/>
      <c r="F93" s="31" t="s">
        <v>128</v>
      </c>
      <c r="G93" s="7"/>
      <c r="H93" s="7" t="s">
        <v>74</v>
      </c>
      <c r="I93" s="32">
        <v>-3.0</v>
      </c>
      <c r="J93" s="12"/>
      <c r="K93" s="7" t="s">
        <v>54</v>
      </c>
      <c r="L93" s="7">
        <v>0.0</v>
      </c>
      <c r="M93" s="22">
        <f t="shared" si="2"/>
        <v>0</v>
      </c>
      <c r="N93" s="2">
        <f t="shared" si="3"/>
        <v>0</v>
      </c>
      <c r="O93" s="28">
        <f t="shared" si="5"/>
        <v>0</v>
      </c>
      <c r="P93" s="29">
        <f t="shared" si="6"/>
        <v>0</v>
      </c>
      <c r="Q93" s="30">
        <f t="shared" si="7"/>
        <v>0</v>
      </c>
      <c r="R93" s="29">
        <f t="shared" si="8"/>
        <v>0</v>
      </c>
    </row>
    <row r="94" ht="15.75" customHeight="1">
      <c r="B94" s="2"/>
      <c r="F94" s="31" t="s">
        <v>132</v>
      </c>
      <c r="G94" s="7"/>
      <c r="H94" s="7" t="s">
        <v>65</v>
      </c>
      <c r="I94" s="32">
        <v>3.8</v>
      </c>
      <c r="J94" s="12"/>
      <c r="K94" s="7" t="s">
        <v>54</v>
      </c>
      <c r="L94" s="7">
        <v>3.0</v>
      </c>
      <c r="M94" s="22">
        <f t="shared" si="2"/>
        <v>11.4</v>
      </c>
      <c r="N94" s="2">
        <f t="shared" si="3"/>
        <v>0.114</v>
      </c>
      <c r="O94" s="28">
        <f t="shared" si="5"/>
        <v>11.4</v>
      </c>
      <c r="P94" s="29">
        <f t="shared" si="6"/>
        <v>0.114</v>
      </c>
      <c r="Q94" s="30">
        <f t="shared" si="7"/>
        <v>11.4</v>
      </c>
      <c r="R94" s="29">
        <f t="shared" si="8"/>
        <v>0.114</v>
      </c>
    </row>
    <row r="95" ht="15.75" customHeight="1">
      <c r="B95" s="2"/>
      <c r="F95" s="31" t="s">
        <v>133</v>
      </c>
      <c r="G95" s="7"/>
      <c r="H95" s="7" t="s">
        <v>65</v>
      </c>
      <c r="I95" s="32">
        <v>3.39</v>
      </c>
      <c r="J95" s="12"/>
      <c r="K95" s="7" t="s">
        <v>54</v>
      </c>
      <c r="L95" s="7">
        <v>1.0</v>
      </c>
      <c r="M95" s="22">
        <f t="shared" si="2"/>
        <v>3.39</v>
      </c>
      <c r="N95" s="2">
        <f t="shared" si="3"/>
        <v>0.0339</v>
      </c>
      <c r="O95" s="28">
        <f t="shared" si="5"/>
        <v>5.085</v>
      </c>
      <c r="P95" s="29">
        <f t="shared" si="6"/>
        <v>0.05085</v>
      </c>
      <c r="Q95" s="29">
        <f t="shared" si="7"/>
        <v>6.78</v>
      </c>
      <c r="R95" s="29">
        <f t="shared" si="8"/>
        <v>0.0678</v>
      </c>
    </row>
    <row r="96" ht="15.75" customHeight="1">
      <c r="B96" s="2"/>
      <c r="F96" s="31" t="s">
        <v>134</v>
      </c>
      <c r="G96" s="7"/>
      <c r="H96" s="7" t="s">
        <v>68</v>
      </c>
      <c r="I96" s="32">
        <v>14.77</v>
      </c>
      <c r="J96" s="12"/>
      <c r="K96" s="7" t="s">
        <v>54</v>
      </c>
      <c r="L96" s="7">
        <v>3.0</v>
      </c>
      <c r="M96" s="22">
        <f t="shared" si="2"/>
        <v>44.31</v>
      </c>
      <c r="N96" s="2">
        <f t="shared" si="3"/>
        <v>0.4431</v>
      </c>
      <c r="O96" s="28">
        <f t="shared" si="5"/>
        <v>44.31</v>
      </c>
      <c r="P96" s="29">
        <f t="shared" si="6"/>
        <v>0.4431</v>
      </c>
      <c r="Q96" s="30">
        <f t="shared" si="7"/>
        <v>44.31</v>
      </c>
      <c r="R96" s="29">
        <f t="shared" si="8"/>
        <v>0.4431</v>
      </c>
    </row>
    <row r="97" ht="15.75" customHeight="1">
      <c r="B97" s="2"/>
      <c r="F97" s="31" t="s">
        <v>79</v>
      </c>
      <c r="G97" s="7"/>
      <c r="H97" s="7" t="s">
        <v>68</v>
      </c>
      <c r="I97" s="32">
        <v>73.31</v>
      </c>
      <c r="J97" s="12"/>
      <c r="K97" s="7" t="s">
        <v>54</v>
      </c>
      <c r="L97" s="7">
        <v>3.0</v>
      </c>
      <c r="M97" s="22">
        <f t="shared" si="2"/>
        <v>219.93</v>
      </c>
      <c r="N97" s="2">
        <f t="shared" si="3"/>
        <v>2.1993</v>
      </c>
      <c r="O97" s="28">
        <f t="shared" si="5"/>
        <v>219.93</v>
      </c>
      <c r="P97" s="29">
        <f t="shared" si="6"/>
        <v>2.1993</v>
      </c>
      <c r="Q97" s="30">
        <f t="shared" si="7"/>
        <v>219.93</v>
      </c>
      <c r="R97" s="29">
        <f t="shared" si="8"/>
        <v>2.1993</v>
      </c>
    </row>
    <row r="98" ht="15.75" customHeight="1">
      <c r="B98" s="2"/>
      <c r="F98" s="31" t="s">
        <v>134</v>
      </c>
      <c r="G98" s="7"/>
      <c r="H98" s="7" t="s">
        <v>68</v>
      </c>
      <c r="I98" s="32">
        <v>14.77</v>
      </c>
      <c r="J98" s="12"/>
      <c r="K98" s="7" t="s">
        <v>54</v>
      </c>
      <c r="L98" s="7">
        <v>3.0</v>
      </c>
      <c r="M98" s="22">
        <f t="shared" si="2"/>
        <v>44.31</v>
      </c>
      <c r="N98" s="2">
        <f t="shared" si="3"/>
        <v>0.4431</v>
      </c>
      <c r="O98" s="28">
        <f t="shared" si="5"/>
        <v>44.31</v>
      </c>
      <c r="P98" s="29">
        <f t="shared" si="6"/>
        <v>0.4431</v>
      </c>
      <c r="Q98" s="30">
        <f t="shared" si="7"/>
        <v>44.31</v>
      </c>
      <c r="R98" s="29">
        <f t="shared" si="8"/>
        <v>0.4431</v>
      </c>
    </row>
    <row r="99" ht="15.75" customHeight="1">
      <c r="B99" s="2"/>
      <c r="F99" s="31" t="s">
        <v>135</v>
      </c>
      <c r="G99" s="7"/>
      <c r="H99" s="7" t="s">
        <v>68</v>
      </c>
      <c r="I99" s="32">
        <v>6.72</v>
      </c>
      <c r="J99" s="12"/>
      <c r="K99" s="7" t="s">
        <v>54</v>
      </c>
      <c r="L99" s="7">
        <v>3.0</v>
      </c>
      <c r="M99" s="22">
        <f t="shared" si="2"/>
        <v>20.16</v>
      </c>
      <c r="N99" s="2">
        <f t="shared" si="3"/>
        <v>0.2016</v>
      </c>
      <c r="O99" s="28">
        <f t="shared" si="5"/>
        <v>20.16</v>
      </c>
      <c r="P99" s="29">
        <f t="shared" si="6"/>
        <v>0.2016</v>
      </c>
      <c r="Q99" s="30">
        <f t="shared" si="7"/>
        <v>20.16</v>
      </c>
      <c r="R99" s="29">
        <f t="shared" si="8"/>
        <v>0.2016</v>
      </c>
    </row>
    <row r="100" ht="15.75" customHeight="1">
      <c r="B100" s="2"/>
      <c r="F100" s="31" t="s">
        <v>136</v>
      </c>
      <c r="G100" s="7"/>
      <c r="H100" s="7" t="s">
        <v>74</v>
      </c>
      <c r="I100" s="32">
        <v>795.0</v>
      </c>
      <c r="J100" s="12"/>
      <c r="K100" s="7" t="s">
        <v>54</v>
      </c>
      <c r="L100" s="7">
        <v>0.0</v>
      </c>
      <c r="M100" s="22">
        <f t="shared" si="2"/>
        <v>0</v>
      </c>
      <c r="N100" s="2">
        <f t="shared" si="3"/>
        <v>0</v>
      </c>
      <c r="O100" s="28">
        <f t="shared" si="5"/>
        <v>0</v>
      </c>
      <c r="P100" s="29">
        <f t="shared" si="6"/>
        <v>0</v>
      </c>
      <c r="Q100" s="30">
        <f t="shared" si="7"/>
        <v>0</v>
      </c>
      <c r="R100" s="29">
        <f t="shared" si="8"/>
        <v>0</v>
      </c>
    </row>
    <row r="101" ht="15.75" customHeight="1">
      <c r="B101" s="2"/>
      <c r="F101" s="7" t="s">
        <v>137</v>
      </c>
      <c r="G101" s="7"/>
      <c r="H101" s="7" t="s">
        <v>65</v>
      </c>
      <c r="I101" s="2">
        <v>28.0</v>
      </c>
      <c r="J101" s="12"/>
      <c r="K101" s="7" t="s">
        <v>71</v>
      </c>
      <c r="L101" s="7">
        <v>2.0</v>
      </c>
      <c r="M101" s="22">
        <f t="shared" si="2"/>
        <v>56</v>
      </c>
      <c r="N101" s="2">
        <f t="shared" si="3"/>
        <v>0.56</v>
      </c>
      <c r="O101" s="28">
        <f t="shared" si="5"/>
        <v>56</v>
      </c>
      <c r="P101" s="29">
        <f t="shared" si="6"/>
        <v>0.56</v>
      </c>
      <c r="Q101" s="30">
        <f t="shared" si="7"/>
        <v>56</v>
      </c>
      <c r="R101" s="29">
        <f t="shared" si="8"/>
        <v>0.56</v>
      </c>
    </row>
    <row r="102" ht="15.75" customHeight="1">
      <c r="B102" s="2"/>
      <c r="F102" s="45" t="s">
        <v>138</v>
      </c>
      <c r="G102" s="7"/>
      <c r="H102" s="7" t="s">
        <v>65</v>
      </c>
      <c r="I102" s="2">
        <v>12.62</v>
      </c>
      <c r="J102" s="12"/>
      <c r="K102" s="7" t="s">
        <v>54</v>
      </c>
      <c r="L102" s="7">
        <v>3.0</v>
      </c>
      <c r="M102" s="22">
        <f t="shared" si="2"/>
        <v>37.86</v>
      </c>
      <c r="N102" s="2">
        <f t="shared" si="3"/>
        <v>0.3786</v>
      </c>
      <c r="O102" s="28">
        <f t="shared" si="5"/>
        <v>37.86</v>
      </c>
      <c r="P102" s="29">
        <f t="shared" si="6"/>
        <v>0.3786</v>
      </c>
      <c r="Q102" s="30">
        <f t="shared" si="7"/>
        <v>37.86</v>
      </c>
      <c r="R102" s="29">
        <f t="shared" si="8"/>
        <v>0.3786</v>
      </c>
    </row>
    <row r="103" ht="15.75" customHeight="1">
      <c r="B103" s="2"/>
      <c r="F103" s="45" t="s">
        <v>139</v>
      </c>
      <c r="G103" s="7"/>
      <c r="H103" s="7" t="s">
        <v>65</v>
      </c>
      <c r="I103" s="2">
        <v>19.26</v>
      </c>
      <c r="J103" s="12"/>
      <c r="K103" s="7" t="s">
        <v>54</v>
      </c>
      <c r="L103" s="7">
        <v>3.0</v>
      </c>
      <c r="M103" s="22">
        <f t="shared" si="2"/>
        <v>57.78</v>
      </c>
      <c r="N103" s="2">
        <f t="shared" si="3"/>
        <v>0.5778</v>
      </c>
      <c r="O103" s="28">
        <f t="shared" si="5"/>
        <v>57.78</v>
      </c>
      <c r="P103" s="29">
        <f t="shared" si="6"/>
        <v>0.5778</v>
      </c>
      <c r="Q103" s="30">
        <f t="shared" si="7"/>
        <v>57.78</v>
      </c>
      <c r="R103" s="29">
        <f t="shared" si="8"/>
        <v>0.5778</v>
      </c>
    </row>
    <row r="104" ht="15.75" customHeight="1">
      <c r="B104" s="2"/>
      <c r="F104" s="45" t="s">
        <v>139</v>
      </c>
      <c r="G104" s="7"/>
      <c r="H104" s="7" t="s">
        <v>65</v>
      </c>
      <c r="I104" s="2">
        <v>4.82</v>
      </c>
      <c r="J104" s="12"/>
      <c r="K104" s="7" t="s">
        <v>54</v>
      </c>
      <c r="L104" s="7">
        <v>3.0</v>
      </c>
      <c r="M104" s="22">
        <f t="shared" si="2"/>
        <v>14.46</v>
      </c>
      <c r="N104" s="2">
        <f t="shared" si="3"/>
        <v>0.1446</v>
      </c>
      <c r="O104" s="28">
        <f t="shared" si="5"/>
        <v>14.46</v>
      </c>
      <c r="P104" s="29">
        <f t="shared" si="6"/>
        <v>0.1446</v>
      </c>
      <c r="Q104" s="30">
        <f t="shared" si="7"/>
        <v>14.46</v>
      </c>
      <c r="R104" s="29">
        <f t="shared" si="8"/>
        <v>0.1446</v>
      </c>
    </row>
    <row r="105" ht="15.75" customHeight="1">
      <c r="B105" s="2"/>
      <c r="F105" s="7" t="s">
        <v>140</v>
      </c>
      <c r="G105" s="7"/>
      <c r="H105" s="7" t="s">
        <v>65</v>
      </c>
      <c r="I105" s="2">
        <v>27.99</v>
      </c>
      <c r="J105" s="12"/>
      <c r="K105" s="7" t="s">
        <v>54</v>
      </c>
      <c r="L105" s="23">
        <v>3.0</v>
      </c>
      <c r="M105" s="22">
        <f t="shared" si="2"/>
        <v>83.97</v>
      </c>
      <c r="N105" s="2">
        <f t="shared" si="3"/>
        <v>0.8397</v>
      </c>
      <c r="O105" s="28">
        <f t="shared" si="5"/>
        <v>83.97</v>
      </c>
      <c r="P105" s="29">
        <f t="shared" si="6"/>
        <v>0.8397</v>
      </c>
      <c r="Q105" s="30">
        <f t="shared" si="7"/>
        <v>83.97</v>
      </c>
      <c r="R105" s="29">
        <f t="shared" si="8"/>
        <v>0.8397</v>
      </c>
    </row>
    <row r="106" ht="15.75" customHeight="1">
      <c r="B106" s="2"/>
      <c r="F106" s="7" t="s">
        <v>141</v>
      </c>
      <c r="G106" s="7"/>
      <c r="H106" s="7" t="s">
        <v>65</v>
      </c>
      <c r="I106" s="2">
        <v>2.01</v>
      </c>
      <c r="J106" s="12"/>
      <c r="K106" s="7" t="s">
        <v>54</v>
      </c>
      <c r="L106" s="23">
        <v>3.0</v>
      </c>
      <c r="M106" s="22">
        <f t="shared" si="2"/>
        <v>6.03</v>
      </c>
      <c r="N106" s="2">
        <f t="shared" si="3"/>
        <v>0.0603</v>
      </c>
      <c r="O106" s="28">
        <f t="shared" si="5"/>
        <v>6.03</v>
      </c>
      <c r="P106" s="29">
        <f t="shared" si="6"/>
        <v>0.0603</v>
      </c>
      <c r="Q106" s="30">
        <f t="shared" si="7"/>
        <v>6.03</v>
      </c>
      <c r="R106" s="29">
        <f t="shared" si="8"/>
        <v>0.0603</v>
      </c>
    </row>
    <row r="107" ht="15.75" customHeight="1">
      <c r="B107" s="2"/>
      <c r="F107" s="23" t="s">
        <v>142</v>
      </c>
      <c r="G107" s="7"/>
      <c r="H107" s="7" t="s">
        <v>65</v>
      </c>
      <c r="I107" s="2">
        <v>30.0</v>
      </c>
      <c r="J107" s="12"/>
      <c r="K107" s="7" t="s">
        <v>54</v>
      </c>
      <c r="L107" s="23">
        <v>1.0</v>
      </c>
      <c r="M107" s="22">
        <f t="shared" si="2"/>
        <v>30</v>
      </c>
      <c r="N107" s="2">
        <f t="shared" si="3"/>
        <v>0.3</v>
      </c>
      <c r="O107" s="28">
        <f t="shared" si="5"/>
        <v>45</v>
      </c>
      <c r="P107" s="29">
        <f t="shared" si="6"/>
        <v>0.45</v>
      </c>
      <c r="Q107" s="29">
        <f t="shared" si="7"/>
        <v>60</v>
      </c>
      <c r="R107" s="29">
        <f t="shared" si="8"/>
        <v>0.6</v>
      </c>
    </row>
    <row r="108" ht="15.75" customHeight="1">
      <c r="B108" s="2"/>
      <c r="F108" s="7" t="s">
        <v>140</v>
      </c>
      <c r="G108" s="7"/>
      <c r="H108" s="7" t="s">
        <v>65</v>
      </c>
      <c r="I108" s="2">
        <v>32.61</v>
      </c>
      <c r="J108" s="12"/>
      <c r="K108" s="7" t="s">
        <v>54</v>
      </c>
      <c r="L108" s="23">
        <v>3.0</v>
      </c>
      <c r="M108" s="22">
        <f t="shared" si="2"/>
        <v>97.83</v>
      </c>
      <c r="N108" s="2">
        <f t="shared" si="3"/>
        <v>0.9783</v>
      </c>
      <c r="O108" s="28">
        <f t="shared" si="5"/>
        <v>97.83</v>
      </c>
      <c r="P108" s="29">
        <f t="shared" si="6"/>
        <v>0.9783</v>
      </c>
      <c r="Q108" s="30">
        <f t="shared" si="7"/>
        <v>97.83</v>
      </c>
      <c r="R108" s="29">
        <f t="shared" si="8"/>
        <v>0.9783</v>
      </c>
    </row>
    <row r="109" ht="15.75" customHeight="1">
      <c r="B109" s="2"/>
      <c r="F109" s="7" t="s">
        <v>143</v>
      </c>
      <c r="G109" s="7"/>
      <c r="H109" s="7" t="s">
        <v>65</v>
      </c>
      <c r="I109" s="2">
        <v>1.99</v>
      </c>
      <c r="J109" s="46">
        <v>46159.0</v>
      </c>
      <c r="K109" s="7" t="s">
        <v>54</v>
      </c>
      <c r="L109" s="23">
        <v>1.0</v>
      </c>
      <c r="M109" s="22">
        <f t="shared" si="2"/>
        <v>1.99</v>
      </c>
      <c r="N109" s="2">
        <f t="shared" si="3"/>
        <v>0.0199</v>
      </c>
      <c r="O109" s="28">
        <f t="shared" si="5"/>
        <v>2.985</v>
      </c>
      <c r="P109" s="29">
        <f t="shared" si="6"/>
        <v>0.02985</v>
      </c>
      <c r="Q109" s="29">
        <f t="shared" si="7"/>
        <v>3.98</v>
      </c>
      <c r="R109" s="29">
        <f t="shared" si="8"/>
        <v>0.0398</v>
      </c>
    </row>
    <row r="110" ht="15.75" customHeight="1">
      <c r="B110" s="2"/>
      <c r="F110" s="7" t="s">
        <v>144</v>
      </c>
      <c r="G110" s="7"/>
      <c r="H110" s="7" t="s">
        <v>65</v>
      </c>
      <c r="I110" s="2">
        <v>6.99</v>
      </c>
      <c r="J110" s="46">
        <v>46159.0</v>
      </c>
      <c r="K110" s="7" t="s">
        <v>54</v>
      </c>
      <c r="L110" s="23">
        <v>1.0</v>
      </c>
      <c r="M110" s="22">
        <f t="shared" si="2"/>
        <v>6.99</v>
      </c>
      <c r="N110" s="2">
        <f t="shared" si="3"/>
        <v>0.0699</v>
      </c>
      <c r="O110" s="28">
        <f t="shared" si="5"/>
        <v>10.485</v>
      </c>
      <c r="P110" s="29">
        <f t="shared" si="6"/>
        <v>0.10485</v>
      </c>
      <c r="Q110" s="29">
        <f t="shared" si="7"/>
        <v>13.98</v>
      </c>
      <c r="R110" s="29">
        <f t="shared" si="8"/>
        <v>0.1398</v>
      </c>
    </row>
    <row r="111" ht="15.75" customHeight="1">
      <c r="B111" s="2"/>
      <c r="F111" s="47" t="s">
        <v>86</v>
      </c>
      <c r="G111" s="7"/>
      <c r="H111" s="23" t="s">
        <v>70</v>
      </c>
      <c r="I111" s="24">
        <v>35.0</v>
      </c>
      <c r="J111" s="12"/>
      <c r="K111" s="23" t="s">
        <v>54</v>
      </c>
      <c r="L111" s="23">
        <v>1.0</v>
      </c>
      <c r="M111" s="22">
        <f t="shared" si="2"/>
        <v>35</v>
      </c>
      <c r="N111" s="2">
        <f t="shared" si="3"/>
        <v>0.35</v>
      </c>
      <c r="O111" s="28">
        <f t="shared" si="5"/>
        <v>52.5</v>
      </c>
      <c r="P111" s="29">
        <f t="shared" si="6"/>
        <v>0.525</v>
      </c>
      <c r="Q111" s="29">
        <f t="shared" si="7"/>
        <v>70</v>
      </c>
      <c r="R111" s="29">
        <f t="shared" si="8"/>
        <v>0.7</v>
      </c>
    </row>
    <row r="112" ht="15.75" customHeight="1">
      <c r="B112" s="2"/>
      <c r="F112" s="47" t="s">
        <v>103</v>
      </c>
      <c r="G112" s="7"/>
      <c r="H112" s="23" t="s">
        <v>61</v>
      </c>
      <c r="I112" s="48">
        <v>84.35</v>
      </c>
      <c r="J112" s="12"/>
      <c r="K112" s="23" t="s">
        <v>54</v>
      </c>
      <c r="L112" s="23">
        <v>1.0</v>
      </c>
      <c r="M112" s="22">
        <f t="shared" si="2"/>
        <v>84.35</v>
      </c>
      <c r="N112" s="2">
        <f t="shared" si="3"/>
        <v>0.8435</v>
      </c>
      <c r="O112" s="28">
        <f t="shared" si="5"/>
        <v>126.525</v>
      </c>
      <c r="P112" s="29">
        <f t="shared" si="6"/>
        <v>1.26525</v>
      </c>
      <c r="Q112" s="29">
        <f t="shared" si="7"/>
        <v>168.7</v>
      </c>
      <c r="R112" s="29">
        <f t="shared" si="8"/>
        <v>1.687</v>
      </c>
    </row>
    <row r="113" ht="15.75" customHeight="1">
      <c r="B113" s="49"/>
      <c r="D113" s="50"/>
      <c r="F113" s="51" t="s">
        <v>86</v>
      </c>
      <c r="G113" s="7"/>
      <c r="H113" s="23" t="s">
        <v>70</v>
      </c>
      <c r="I113" s="24">
        <v>35.0</v>
      </c>
      <c r="J113" s="12"/>
      <c r="K113" s="23" t="s">
        <v>54</v>
      </c>
      <c r="L113" s="23">
        <v>1.0</v>
      </c>
      <c r="M113" s="22">
        <f t="shared" si="2"/>
        <v>35</v>
      </c>
      <c r="N113" s="2">
        <f t="shared" si="3"/>
        <v>0.35</v>
      </c>
      <c r="O113" s="28">
        <f t="shared" si="5"/>
        <v>52.5</v>
      </c>
      <c r="P113" s="29">
        <f t="shared" si="6"/>
        <v>0.525</v>
      </c>
      <c r="Q113" s="29">
        <f t="shared" si="7"/>
        <v>70</v>
      </c>
      <c r="R113" s="29">
        <f t="shared" si="8"/>
        <v>0.7</v>
      </c>
    </row>
    <row r="114" ht="15.75" customHeight="1">
      <c r="B114" s="52"/>
      <c r="D114" s="50"/>
      <c r="F114" s="51" t="s">
        <v>121</v>
      </c>
      <c r="G114" s="7"/>
      <c r="H114" s="23" t="s">
        <v>65</v>
      </c>
      <c r="I114" s="24">
        <v>13.0</v>
      </c>
      <c r="J114" s="12"/>
      <c r="K114" s="23" t="s">
        <v>54</v>
      </c>
      <c r="L114" s="23">
        <v>3.0</v>
      </c>
      <c r="M114" s="22">
        <f t="shared" si="2"/>
        <v>39</v>
      </c>
      <c r="N114" s="2">
        <f t="shared" si="3"/>
        <v>0.39</v>
      </c>
      <c r="O114" s="28">
        <f t="shared" si="5"/>
        <v>39</v>
      </c>
      <c r="P114" s="29">
        <f t="shared" si="6"/>
        <v>0.39</v>
      </c>
      <c r="Q114" s="30">
        <f t="shared" si="7"/>
        <v>39</v>
      </c>
      <c r="R114" s="29">
        <f t="shared" si="8"/>
        <v>0.39</v>
      </c>
    </row>
    <row r="115" ht="15.75" customHeight="1">
      <c r="B115" s="2"/>
      <c r="F115" s="53" t="s">
        <v>145</v>
      </c>
      <c r="G115" s="7"/>
      <c r="H115" s="23" t="s">
        <v>74</v>
      </c>
      <c r="I115" s="24">
        <v>5.0</v>
      </c>
      <c r="J115" s="12"/>
      <c r="K115" s="23" t="s">
        <v>54</v>
      </c>
      <c r="L115" s="23">
        <v>1.0</v>
      </c>
      <c r="M115" s="22">
        <f t="shared" si="2"/>
        <v>5</v>
      </c>
      <c r="N115" s="2">
        <f t="shared" si="3"/>
        <v>0.05</v>
      </c>
      <c r="O115" s="28">
        <f t="shared" si="5"/>
        <v>7.5</v>
      </c>
      <c r="P115" s="29">
        <f t="shared" si="6"/>
        <v>0.075</v>
      </c>
      <c r="Q115" s="29">
        <f t="shared" si="7"/>
        <v>10</v>
      </c>
      <c r="R115" s="29">
        <f t="shared" si="8"/>
        <v>0.1</v>
      </c>
    </row>
    <row r="116" ht="15.75" customHeight="1">
      <c r="B116" s="2"/>
      <c r="F116" s="51" t="s">
        <v>103</v>
      </c>
      <c r="G116" s="7"/>
      <c r="H116" s="23" t="s">
        <v>61</v>
      </c>
      <c r="I116" s="24">
        <v>62.48</v>
      </c>
      <c r="J116" s="12"/>
      <c r="K116" s="23" t="s">
        <v>54</v>
      </c>
      <c r="L116" s="23">
        <v>1.0</v>
      </c>
      <c r="M116" s="22">
        <f t="shared" si="2"/>
        <v>62.48</v>
      </c>
      <c r="N116" s="2">
        <f t="shared" si="3"/>
        <v>0.6248</v>
      </c>
      <c r="O116" s="28">
        <f t="shared" si="5"/>
        <v>93.72</v>
      </c>
      <c r="P116" s="29">
        <f t="shared" si="6"/>
        <v>0.9372</v>
      </c>
      <c r="Q116" s="29">
        <f t="shared" si="7"/>
        <v>124.96</v>
      </c>
      <c r="R116" s="29">
        <f t="shared" si="8"/>
        <v>1.2496</v>
      </c>
    </row>
    <row r="117" ht="15.75" customHeight="1">
      <c r="B117" s="2"/>
      <c r="F117" s="53" t="s">
        <v>146</v>
      </c>
      <c r="G117" s="7"/>
      <c r="H117" s="23" t="s">
        <v>70</v>
      </c>
      <c r="I117" s="24">
        <v>35.0</v>
      </c>
      <c r="J117" s="12"/>
      <c r="K117" s="23" t="s">
        <v>54</v>
      </c>
      <c r="L117" s="23">
        <v>1.0</v>
      </c>
      <c r="M117" s="22">
        <f t="shared" si="2"/>
        <v>35</v>
      </c>
      <c r="N117" s="2">
        <f t="shared" si="3"/>
        <v>0.35</v>
      </c>
      <c r="O117" s="28">
        <f t="shared" si="5"/>
        <v>52.5</v>
      </c>
      <c r="P117" s="29">
        <f t="shared" si="6"/>
        <v>0.525</v>
      </c>
      <c r="Q117" s="29">
        <f t="shared" si="7"/>
        <v>70</v>
      </c>
      <c r="R117" s="29">
        <f t="shared" si="8"/>
        <v>0.7</v>
      </c>
    </row>
    <row r="118" ht="15.75" customHeight="1">
      <c r="B118" s="2"/>
      <c r="F118" s="53" t="s">
        <v>147</v>
      </c>
      <c r="G118" s="7"/>
      <c r="H118" s="23" t="s">
        <v>68</v>
      </c>
      <c r="I118" s="24">
        <v>19.65</v>
      </c>
      <c r="J118" s="12"/>
      <c r="K118" s="23" t="s">
        <v>54</v>
      </c>
      <c r="L118" s="23">
        <v>1.0</v>
      </c>
      <c r="M118" s="22">
        <f t="shared" si="2"/>
        <v>19.65</v>
      </c>
      <c r="N118" s="2">
        <f t="shared" si="3"/>
        <v>0.1965</v>
      </c>
      <c r="O118" s="28">
        <f t="shared" si="5"/>
        <v>29.475</v>
      </c>
      <c r="P118" s="29">
        <f t="shared" si="6"/>
        <v>0.29475</v>
      </c>
      <c r="Q118" s="29">
        <f t="shared" si="7"/>
        <v>39.3</v>
      </c>
      <c r="R118" s="29">
        <f t="shared" si="8"/>
        <v>0.393</v>
      </c>
    </row>
    <row r="119" ht="15.75" customHeight="1">
      <c r="B119" s="2"/>
      <c r="F119" s="47" t="s">
        <v>148</v>
      </c>
      <c r="G119" s="7"/>
      <c r="H119" s="23" t="s">
        <v>72</v>
      </c>
      <c r="I119" s="24">
        <v>11.0</v>
      </c>
      <c r="J119" s="12"/>
      <c r="K119" s="23" t="s">
        <v>54</v>
      </c>
      <c r="L119" s="23">
        <v>3.0</v>
      </c>
      <c r="M119" s="22">
        <f t="shared" si="2"/>
        <v>33</v>
      </c>
      <c r="N119" s="2">
        <f t="shared" si="3"/>
        <v>0.33</v>
      </c>
      <c r="O119" s="28">
        <f t="shared" si="5"/>
        <v>33</v>
      </c>
      <c r="P119" s="29">
        <f t="shared" si="6"/>
        <v>0.33</v>
      </c>
      <c r="Q119" s="30">
        <f t="shared" si="7"/>
        <v>33</v>
      </c>
      <c r="R119" s="29">
        <f t="shared" si="8"/>
        <v>0.33</v>
      </c>
    </row>
    <row r="120" ht="15.75" customHeight="1">
      <c r="B120" s="2"/>
      <c r="F120" s="47" t="s">
        <v>149</v>
      </c>
      <c r="G120" s="7"/>
      <c r="H120" s="23" t="s">
        <v>68</v>
      </c>
      <c r="I120" s="24">
        <v>5.44</v>
      </c>
      <c r="J120" s="12"/>
      <c r="K120" s="23" t="s">
        <v>54</v>
      </c>
      <c r="L120" s="23">
        <v>3.0</v>
      </c>
      <c r="M120" s="22">
        <f t="shared" si="2"/>
        <v>16.32</v>
      </c>
      <c r="N120" s="2">
        <f t="shared" si="3"/>
        <v>0.1632</v>
      </c>
      <c r="O120" s="28">
        <f t="shared" si="5"/>
        <v>16.32</v>
      </c>
      <c r="P120" s="29">
        <f t="shared" si="6"/>
        <v>0.1632</v>
      </c>
      <c r="Q120" s="30">
        <f t="shared" si="7"/>
        <v>16.32</v>
      </c>
      <c r="R120" s="29">
        <f t="shared" si="8"/>
        <v>0.1632</v>
      </c>
    </row>
    <row r="121" ht="15.75" customHeight="1">
      <c r="B121" s="2"/>
      <c r="F121" s="47" t="s">
        <v>150</v>
      </c>
      <c r="G121" s="7"/>
      <c r="H121" s="23" t="s">
        <v>68</v>
      </c>
      <c r="I121" s="24">
        <v>10.0</v>
      </c>
      <c r="J121" s="12"/>
      <c r="K121" s="23" t="s">
        <v>54</v>
      </c>
      <c r="L121" s="23">
        <v>1.0</v>
      </c>
      <c r="M121" s="22">
        <f t="shared" si="2"/>
        <v>10</v>
      </c>
      <c r="N121" s="2">
        <f t="shared" si="3"/>
        <v>0.1</v>
      </c>
      <c r="O121" s="28">
        <f t="shared" si="5"/>
        <v>15</v>
      </c>
      <c r="P121" s="29">
        <f t="shared" si="6"/>
        <v>0.15</v>
      </c>
      <c r="Q121" s="29">
        <f t="shared" si="7"/>
        <v>20</v>
      </c>
      <c r="R121" s="29">
        <f t="shared" si="8"/>
        <v>0.2</v>
      </c>
    </row>
    <row r="122" ht="15.75" customHeight="1">
      <c r="B122" s="2"/>
      <c r="F122" s="23" t="s">
        <v>151</v>
      </c>
      <c r="G122" s="7"/>
      <c r="H122" s="23" t="s">
        <v>45</v>
      </c>
      <c r="I122" s="24">
        <v>20.0</v>
      </c>
      <c r="J122" s="12"/>
      <c r="K122" s="23" t="s">
        <v>54</v>
      </c>
      <c r="L122" s="23">
        <v>1.0</v>
      </c>
      <c r="M122" s="22">
        <f t="shared" si="2"/>
        <v>20</v>
      </c>
      <c r="N122" s="2">
        <f t="shared" si="3"/>
        <v>0.2</v>
      </c>
      <c r="O122" s="28">
        <f t="shared" si="5"/>
        <v>30</v>
      </c>
      <c r="P122" s="29">
        <f t="shared" si="6"/>
        <v>0.3</v>
      </c>
      <c r="Q122" s="29">
        <f t="shared" si="7"/>
        <v>40</v>
      </c>
      <c r="R122" s="29">
        <f t="shared" si="8"/>
        <v>0.4</v>
      </c>
    </row>
    <row r="123" ht="15.75" customHeight="1">
      <c r="B123" s="2"/>
      <c r="F123" s="23" t="s">
        <v>152</v>
      </c>
      <c r="G123" s="7"/>
      <c r="H123" s="23" t="s">
        <v>65</v>
      </c>
      <c r="I123" s="24">
        <f> (53/3)</f>
        <v>17.66666667</v>
      </c>
      <c r="J123" s="12"/>
      <c r="K123" s="23" t="s">
        <v>54</v>
      </c>
      <c r="L123" s="23">
        <v>3.0</v>
      </c>
      <c r="M123" s="22">
        <f t="shared" si="2"/>
        <v>53</v>
      </c>
      <c r="N123" s="2">
        <f t="shared" si="3"/>
        <v>0.53</v>
      </c>
      <c r="O123" s="28">
        <f t="shared" si="5"/>
        <v>53</v>
      </c>
      <c r="P123" s="29">
        <f t="shared" si="6"/>
        <v>0.53</v>
      </c>
      <c r="Q123" s="30">
        <f t="shared" si="7"/>
        <v>53</v>
      </c>
      <c r="R123" s="29">
        <f t="shared" si="8"/>
        <v>0.53</v>
      </c>
    </row>
    <row r="124" ht="15.75" customHeight="1">
      <c r="B124" s="2"/>
      <c r="F124" s="23" t="s">
        <v>153</v>
      </c>
      <c r="G124" s="7"/>
      <c r="H124" s="23" t="s">
        <v>65</v>
      </c>
      <c r="I124" s="24">
        <v>17.0</v>
      </c>
      <c r="J124" s="12"/>
      <c r="K124" s="23" t="s">
        <v>54</v>
      </c>
      <c r="L124" s="23">
        <v>3.0</v>
      </c>
      <c r="M124" s="22">
        <f t="shared" si="2"/>
        <v>51</v>
      </c>
      <c r="N124" s="2">
        <f t="shared" si="3"/>
        <v>0.51</v>
      </c>
      <c r="O124" s="28">
        <f t="shared" si="5"/>
        <v>51</v>
      </c>
      <c r="P124" s="29">
        <f t="shared" si="6"/>
        <v>0.51</v>
      </c>
      <c r="Q124" s="30">
        <f t="shared" si="7"/>
        <v>51</v>
      </c>
      <c r="R124" s="29">
        <f t="shared" si="8"/>
        <v>0.51</v>
      </c>
    </row>
    <row r="125" ht="15.75" customHeight="1">
      <c r="B125" s="2"/>
      <c r="F125" s="23" t="s">
        <v>154</v>
      </c>
      <c r="G125" s="7"/>
      <c r="H125" s="23" t="s">
        <v>65</v>
      </c>
      <c r="I125" s="24">
        <v>32.0</v>
      </c>
      <c r="J125" s="12"/>
      <c r="K125" s="23" t="s">
        <v>54</v>
      </c>
      <c r="L125" s="23">
        <v>3.0</v>
      </c>
      <c r="M125" s="22">
        <f t="shared" si="2"/>
        <v>96</v>
      </c>
      <c r="N125" s="2">
        <f t="shared" si="3"/>
        <v>0.96</v>
      </c>
      <c r="O125" s="28">
        <f t="shared" si="5"/>
        <v>96</v>
      </c>
      <c r="P125" s="29">
        <f t="shared" si="6"/>
        <v>0.96</v>
      </c>
      <c r="Q125" s="30">
        <f t="shared" si="7"/>
        <v>96</v>
      </c>
      <c r="R125" s="29">
        <f t="shared" si="8"/>
        <v>0.96</v>
      </c>
    </row>
    <row r="126" ht="15.75" customHeight="1">
      <c r="B126" s="2"/>
      <c r="F126" s="23" t="s">
        <v>155</v>
      </c>
      <c r="G126" s="7"/>
      <c r="H126" s="23" t="s">
        <v>65</v>
      </c>
      <c r="I126" s="24">
        <v>8.0</v>
      </c>
      <c r="J126" s="12"/>
      <c r="K126" s="23" t="s">
        <v>54</v>
      </c>
      <c r="L126" s="23">
        <v>3.0</v>
      </c>
      <c r="M126" s="22">
        <f t="shared" si="2"/>
        <v>24</v>
      </c>
      <c r="N126" s="2">
        <f t="shared" si="3"/>
        <v>0.24</v>
      </c>
      <c r="O126" s="28">
        <f t="shared" si="5"/>
        <v>24</v>
      </c>
      <c r="P126" s="29">
        <f t="shared" si="6"/>
        <v>0.24</v>
      </c>
      <c r="Q126" s="30">
        <f t="shared" si="7"/>
        <v>24</v>
      </c>
      <c r="R126" s="29">
        <f t="shared" si="8"/>
        <v>0.24</v>
      </c>
    </row>
    <row r="127" ht="15.75" customHeight="1">
      <c r="B127" s="2"/>
      <c r="F127" s="23" t="s">
        <v>156</v>
      </c>
      <c r="G127" s="7"/>
      <c r="H127" s="23" t="s">
        <v>75</v>
      </c>
      <c r="I127" s="24">
        <v>35.0</v>
      </c>
      <c r="J127" s="12"/>
      <c r="K127" s="23" t="s">
        <v>54</v>
      </c>
      <c r="L127" s="23">
        <v>1.0</v>
      </c>
      <c r="M127" s="22">
        <f t="shared" si="2"/>
        <v>35</v>
      </c>
      <c r="N127" s="2">
        <f t="shared" si="3"/>
        <v>0.35</v>
      </c>
      <c r="O127" s="28">
        <f t="shared" si="5"/>
        <v>52.5</v>
      </c>
      <c r="P127" s="29">
        <f t="shared" si="6"/>
        <v>0.525</v>
      </c>
      <c r="Q127" s="29">
        <f t="shared" si="7"/>
        <v>70</v>
      </c>
      <c r="R127" s="29">
        <f t="shared" si="8"/>
        <v>0.7</v>
      </c>
    </row>
    <row r="128" ht="15.75" customHeight="1">
      <c r="B128" s="2"/>
      <c r="F128" s="23" t="s">
        <v>157</v>
      </c>
      <c r="G128" s="7"/>
      <c r="H128" s="23" t="s">
        <v>72</v>
      </c>
      <c r="I128" s="24">
        <v>28.0</v>
      </c>
      <c r="J128" s="12"/>
      <c r="K128" s="23" t="s">
        <v>54</v>
      </c>
      <c r="L128" s="23">
        <v>5.0</v>
      </c>
      <c r="M128" s="22">
        <f t="shared" si="2"/>
        <v>140</v>
      </c>
      <c r="N128" s="2">
        <f t="shared" si="3"/>
        <v>1.4</v>
      </c>
      <c r="O128" s="28">
        <f t="shared" si="5"/>
        <v>140</v>
      </c>
      <c r="P128" s="29">
        <f t="shared" si="6"/>
        <v>1.4</v>
      </c>
      <c r="Q128" s="30">
        <f t="shared" si="7"/>
        <v>140</v>
      </c>
      <c r="R128" s="29">
        <f t="shared" si="8"/>
        <v>1.4</v>
      </c>
    </row>
    <row r="129" ht="15.75" customHeight="1">
      <c r="B129" s="2"/>
      <c r="F129" s="23" t="s">
        <v>158</v>
      </c>
      <c r="G129" s="7"/>
      <c r="H129" s="23" t="s">
        <v>50</v>
      </c>
      <c r="I129" s="24">
        <v>37.0</v>
      </c>
      <c r="J129" s="12"/>
      <c r="K129" s="23" t="s">
        <v>54</v>
      </c>
      <c r="L129" s="23">
        <v>1.0</v>
      </c>
      <c r="M129" s="22">
        <f t="shared" si="2"/>
        <v>37</v>
      </c>
      <c r="N129" s="2">
        <f t="shared" si="3"/>
        <v>0.37</v>
      </c>
      <c r="O129" s="28">
        <f t="shared" si="5"/>
        <v>55.5</v>
      </c>
      <c r="P129" s="29">
        <f t="shared" si="6"/>
        <v>0.555</v>
      </c>
      <c r="Q129" s="29">
        <f t="shared" si="7"/>
        <v>74</v>
      </c>
      <c r="R129" s="29">
        <f t="shared" si="8"/>
        <v>0.74</v>
      </c>
    </row>
    <row r="130" ht="15.75" customHeight="1">
      <c r="B130" s="2"/>
      <c r="F130" s="23" t="s">
        <v>159</v>
      </c>
      <c r="G130" s="7"/>
      <c r="H130" s="23" t="s">
        <v>68</v>
      </c>
      <c r="I130" s="24">
        <v>3.63</v>
      </c>
      <c r="J130" s="12"/>
      <c r="K130" s="7"/>
      <c r="L130" s="7"/>
      <c r="M130" s="22">
        <f t="shared" si="2"/>
        <v>0</v>
      </c>
      <c r="N130" s="2">
        <f t="shared" si="3"/>
        <v>0</v>
      </c>
      <c r="O130" s="28">
        <f t="shared" si="5"/>
        <v>0</v>
      </c>
      <c r="P130" s="29">
        <f t="shared" si="6"/>
        <v>0</v>
      </c>
      <c r="Q130" s="30">
        <f t="shared" si="7"/>
        <v>0</v>
      </c>
      <c r="R130" s="29">
        <f t="shared" si="8"/>
        <v>0</v>
      </c>
    </row>
    <row r="131" ht="15.75" customHeight="1">
      <c r="B131" s="2"/>
      <c r="F131" s="23" t="s">
        <v>160</v>
      </c>
      <c r="G131" s="7"/>
      <c r="H131" s="23" t="s">
        <v>61</v>
      </c>
      <c r="I131" s="24">
        <v>1.0</v>
      </c>
      <c r="J131" s="12"/>
      <c r="K131" s="7"/>
      <c r="L131" s="7"/>
      <c r="M131" s="22">
        <f t="shared" si="2"/>
        <v>0</v>
      </c>
      <c r="N131" s="2">
        <f t="shared" si="3"/>
        <v>0</v>
      </c>
      <c r="O131" s="28">
        <f t="shared" si="5"/>
        <v>0</v>
      </c>
      <c r="P131" s="29">
        <f t="shared" si="6"/>
        <v>0</v>
      </c>
      <c r="Q131" s="30">
        <f t="shared" si="7"/>
        <v>0</v>
      </c>
      <c r="R131" s="29">
        <f t="shared" si="8"/>
        <v>0</v>
      </c>
    </row>
    <row r="132" ht="15.75" customHeight="1">
      <c r="B132" s="2"/>
      <c r="F132" s="23" t="s">
        <v>161</v>
      </c>
      <c r="G132" s="7"/>
      <c r="H132" s="23" t="s">
        <v>68</v>
      </c>
      <c r="I132" s="24">
        <v>14.0</v>
      </c>
      <c r="J132" s="12"/>
      <c r="K132" s="7"/>
      <c r="L132" s="7"/>
      <c r="M132" s="22">
        <f t="shared" si="2"/>
        <v>0</v>
      </c>
      <c r="N132" s="2">
        <f t="shared" si="3"/>
        <v>0</v>
      </c>
      <c r="O132" s="28">
        <f t="shared" si="5"/>
        <v>0</v>
      </c>
      <c r="P132" s="29">
        <f t="shared" si="6"/>
        <v>0</v>
      </c>
      <c r="Q132" s="30">
        <f t="shared" si="7"/>
        <v>0</v>
      </c>
      <c r="R132" s="29">
        <f t="shared" si="8"/>
        <v>0</v>
      </c>
    </row>
    <row r="133" ht="15.75" customHeight="1">
      <c r="B133" s="2"/>
      <c r="F133" s="23" t="s">
        <v>162</v>
      </c>
      <c r="G133" s="7"/>
      <c r="H133" s="23" t="s">
        <v>65</v>
      </c>
      <c r="I133" s="24">
        <v>0.0</v>
      </c>
      <c r="J133" s="12"/>
      <c r="K133" s="7"/>
      <c r="L133" s="7"/>
      <c r="M133" s="22">
        <f t="shared" si="2"/>
        <v>0</v>
      </c>
      <c r="N133" s="2">
        <f t="shared" si="3"/>
        <v>0</v>
      </c>
      <c r="O133" s="28">
        <f t="shared" si="5"/>
        <v>0</v>
      </c>
      <c r="P133" s="29">
        <f t="shared" si="6"/>
        <v>0</v>
      </c>
      <c r="Q133" s="30">
        <f t="shared" si="7"/>
        <v>0</v>
      </c>
      <c r="R133" s="29">
        <f t="shared" si="8"/>
        <v>0</v>
      </c>
    </row>
    <row r="134" ht="15.75" customHeight="1">
      <c r="B134" s="2"/>
      <c r="F134" s="23" t="s">
        <v>163</v>
      </c>
      <c r="G134" s="7"/>
      <c r="H134" s="23" t="s">
        <v>65</v>
      </c>
      <c r="I134" s="24">
        <v>4.3</v>
      </c>
      <c r="J134" s="12"/>
      <c r="K134" s="7"/>
      <c r="L134" s="7"/>
      <c r="M134" s="22">
        <f t="shared" si="2"/>
        <v>0</v>
      </c>
      <c r="N134" s="2">
        <f t="shared" si="3"/>
        <v>0</v>
      </c>
      <c r="O134" s="28">
        <f t="shared" si="5"/>
        <v>0</v>
      </c>
      <c r="P134" s="29">
        <f t="shared" si="6"/>
        <v>0</v>
      </c>
      <c r="Q134" s="30">
        <f t="shared" si="7"/>
        <v>0</v>
      </c>
      <c r="R134" s="29">
        <f t="shared" si="8"/>
        <v>0</v>
      </c>
    </row>
    <row r="135" ht="15.75" customHeight="1">
      <c r="B135" s="2"/>
      <c r="F135" s="23" t="s">
        <v>164</v>
      </c>
      <c r="G135" s="7"/>
      <c r="H135" s="23" t="s">
        <v>61</v>
      </c>
      <c r="I135" s="24">
        <v>32.34</v>
      </c>
      <c r="J135" s="12"/>
      <c r="K135" s="7"/>
      <c r="L135" s="7"/>
      <c r="M135" s="22">
        <f t="shared" si="2"/>
        <v>0</v>
      </c>
      <c r="N135" s="2">
        <f t="shared" si="3"/>
        <v>0</v>
      </c>
      <c r="O135" s="28">
        <f t="shared" si="5"/>
        <v>0</v>
      </c>
      <c r="P135" s="29">
        <f t="shared" si="6"/>
        <v>0</v>
      </c>
      <c r="Q135" s="30">
        <f t="shared" si="7"/>
        <v>0</v>
      </c>
      <c r="R135" s="29">
        <f t="shared" si="8"/>
        <v>0</v>
      </c>
    </row>
    <row r="136" ht="15.75" customHeight="1">
      <c r="B136" s="2"/>
      <c r="F136" s="23" t="s">
        <v>165</v>
      </c>
      <c r="G136" s="7"/>
      <c r="H136" s="23" t="s">
        <v>68</v>
      </c>
      <c r="I136" s="24">
        <v>46.0</v>
      </c>
      <c r="J136" s="12"/>
      <c r="K136" s="7"/>
      <c r="L136" s="7"/>
      <c r="M136" s="22">
        <f t="shared" si="2"/>
        <v>0</v>
      </c>
      <c r="N136" s="2">
        <f t="shared" si="3"/>
        <v>0</v>
      </c>
      <c r="O136" s="28">
        <f t="shared" si="5"/>
        <v>0</v>
      </c>
      <c r="P136" s="29">
        <f t="shared" si="6"/>
        <v>0</v>
      </c>
      <c r="Q136" s="30">
        <f t="shared" si="7"/>
        <v>0</v>
      </c>
      <c r="R136" s="29">
        <f t="shared" si="8"/>
        <v>0</v>
      </c>
    </row>
    <row r="137" ht="15.75" customHeight="1">
      <c r="B137" s="2"/>
      <c r="F137" s="23" t="s">
        <v>165</v>
      </c>
      <c r="G137" s="7"/>
      <c r="H137" s="23" t="s">
        <v>68</v>
      </c>
      <c r="I137" s="24">
        <v>10.0</v>
      </c>
      <c r="J137" s="12"/>
      <c r="K137" s="7"/>
      <c r="L137" s="7"/>
      <c r="M137" s="22">
        <f t="shared" si="2"/>
        <v>0</v>
      </c>
      <c r="N137" s="2">
        <f t="shared" si="3"/>
        <v>0</v>
      </c>
      <c r="O137" s="28">
        <f t="shared" si="5"/>
        <v>0</v>
      </c>
      <c r="P137" s="29">
        <f t="shared" si="6"/>
        <v>0</v>
      </c>
      <c r="Q137" s="30">
        <f t="shared" si="7"/>
        <v>0</v>
      </c>
      <c r="R137" s="29">
        <f t="shared" si="8"/>
        <v>0</v>
      </c>
    </row>
    <row r="138" ht="15.75" customHeight="1">
      <c r="B138" s="2"/>
      <c r="F138" s="23" t="s">
        <v>166</v>
      </c>
      <c r="G138" s="7"/>
      <c r="H138" s="23" t="s">
        <v>68</v>
      </c>
      <c r="I138" s="24">
        <v>40.0</v>
      </c>
      <c r="J138" s="12"/>
      <c r="K138" s="7"/>
      <c r="L138" s="7"/>
      <c r="M138" s="22">
        <f t="shared" si="2"/>
        <v>0</v>
      </c>
      <c r="N138" s="2">
        <f t="shared" si="3"/>
        <v>0</v>
      </c>
      <c r="O138" s="28">
        <f t="shared" si="5"/>
        <v>0</v>
      </c>
      <c r="P138" s="29">
        <f t="shared" si="6"/>
        <v>0</v>
      </c>
      <c r="Q138" s="30">
        <f t="shared" si="7"/>
        <v>0</v>
      </c>
      <c r="R138" s="29">
        <f t="shared" si="8"/>
        <v>0</v>
      </c>
    </row>
    <row r="139" ht="15.75" customHeight="1">
      <c r="B139" s="2"/>
      <c r="F139" s="23" t="s">
        <v>114</v>
      </c>
      <c r="G139" s="7"/>
      <c r="H139" s="23" t="s">
        <v>65</v>
      </c>
      <c r="I139" s="24">
        <v>16.0</v>
      </c>
      <c r="J139" s="12"/>
      <c r="K139" s="7"/>
      <c r="L139" s="7"/>
      <c r="M139" s="22">
        <f t="shared" si="2"/>
        <v>0</v>
      </c>
      <c r="N139" s="2">
        <f t="shared" si="3"/>
        <v>0</v>
      </c>
      <c r="O139" s="28">
        <f t="shared" si="5"/>
        <v>0</v>
      </c>
      <c r="P139" s="29">
        <f t="shared" si="6"/>
        <v>0</v>
      </c>
      <c r="Q139" s="30">
        <f t="shared" si="7"/>
        <v>0</v>
      </c>
      <c r="R139" s="29">
        <f t="shared" si="8"/>
        <v>0</v>
      </c>
    </row>
    <row r="140" ht="15.75" customHeight="1">
      <c r="B140" s="2"/>
      <c r="F140" s="7"/>
      <c r="G140" s="7"/>
      <c r="H140" s="7"/>
      <c r="I140" s="2"/>
      <c r="J140" s="12"/>
      <c r="K140" s="7"/>
      <c r="L140" s="7"/>
      <c r="M140" s="22">
        <f t="shared" si="2"/>
        <v>0</v>
      </c>
      <c r="N140" s="2">
        <f t="shared" si="3"/>
        <v>0</v>
      </c>
      <c r="O140" s="28">
        <f t="shared" si="5"/>
        <v>0</v>
      </c>
      <c r="P140" s="29">
        <f t="shared" si="6"/>
        <v>0</v>
      </c>
      <c r="Q140" s="30">
        <f t="shared" si="7"/>
        <v>0</v>
      </c>
      <c r="R140" s="29">
        <f t="shared" si="8"/>
        <v>0</v>
      </c>
    </row>
    <row r="141" ht="15.75" customHeight="1">
      <c r="B141" s="2"/>
      <c r="F141" s="7"/>
      <c r="G141" s="7"/>
      <c r="H141" s="7"/>
      <c r="I141" s="2"/>
      <c r="J141" s="12"/>
      <c r="K141" s="7"/>
      <c r="L141" s="7"/>
      <c r="M141" s="22">
        <f t="shared" si="2"/>
        <v>0</v>
      </c>
      <c r="N141" s="2">
        <f t="shared" si="3"/>
        <v>0</v>
      </c>
      <c r="O141" s="28">
        <f t="shared" si="5"/>
        <v>0</v>
      </c>
      <c r="P141" s="29">
        <f t="shared" si="6"/>
        <v>0</v>
      </c>
      <c r="Q141" s="30">
        <f t="shared" si="7"/>
        <v>0</v>
      </c>
      <c r="R141" s="29">
        <f t="shared" si="8"/>
        <v>0</v>
      </c>
    </row>
    <row r="142" ht="15.75" customHeight="1">
      <c r="B142" s="2"/>
      <c r="F142" s="7"/>
      <c r="G142" s="7"/>
      <c r="H142" s="7"/>
      <c r="I142" s="2"/>
      <c r="J142" s="12"/>
      <c r="K142" s="7"/>
      <c r="L142" s="7"/>
      <c r="M142" s="22">
        <f t="shared" si="2"/>
        <v>0</v>
      </c>
      <c r="N142" s="2">
        <f t="shared" si="3"/>
        <v>0</v>
      </c>
      <c r="O142" s="28">
        <f t="shared" si="5"/>
        <v>0</v>
      </c>
      <c r="P142" s="29">
        <f t="shared" si="6"/>
        <v>0</v>
      </c>
      <c r="Q142" s="30">
        <f t="shared" si="7"/>
        <v>0</v>
      </c>
      <c r="R142" s="29">
        <f t="shared" si="8"/>
        <v>0</v>
      </c>
    </row>
    <row r="143" ht="15.75" customHeight="1">
      <c r="B143" s="2"/>
      <c r="F143" s="7"/>
      <c r="G143" s="7"/>
      <c r="H143" s="7"/>
      <c r="I143" s="2"/>
      <c r="J143" s="12"/>
      <c r="K143" s="7"/>
      <c r="L143" s="7"/>
      <c r="M143" s="22">
        <f t="shared" si="2"/>
        <v>0</v>
      </c>
      <c r="N143" s="2">
        <f t="shared" si="3"/>
        <v>0</v>
      </c>
      <c r="O143" s="28">
        <f t="shared" si="5"/>
        <v>0</v>
      </c>
      <c r="P143" s="29">
        <f t="shared" si="6"/>
        <v>0</v>
      </c>
      <c r="Q143" s="30">
        <f t="shared" si="7"/>
        <v>0</v>
      </c>
      <c r="R143" s="29">
        <f t="shared" si="8"/>
        <v>0</v>
      </c>
    </row>
    <row r="144" ht="15.75" customHeight="1">
      <c r="B144" s="2"/>
      <c r="F144" s="7"/>
      <c r="G144" s="7"/>
      <c r="H144" s="7"/>
      <c r="I144" s="2"/>
      <c r="J144" s="12"/>
      <c r="K144" s="7"/>
      <c r="L144" s="7"/>
      <c r="M144" s="22">
        <f t="shared" si="2"/>
        <v>0</v>
      </c>
      <c r="N144" s="2">
        <f t="shared" si="3"/>
        <v>0</v>
      </c>
      <c r="O144" s="28">
        <f t="shared" si="5"/>
        <v>0</v>
      </c>
      <c r="P144" s="29">
        <f t="shared" si="6"/>
        <v>0</v>
      </c>
      <c r="Q144" s="30">
        <f t="shared" si="7"/>
        <v>0</v>
      </c>
      <c r="R144" s="29">
        <f t="shared" si="8"/>
        <v>0</v>
      </c>
    </row>
    <row r="145" ht="15.75" customHeight="1">
      <c r="B145" s="2"/>
      <c r="F145" s="7"/>
      <c r="G145" s="7"/>
      <c r="H145" s="7"/>
      <c r="I145" s="2"/>
      <c r="J145" s="12"/>
      <c r="K145" s="7"/>
      <c r="L145" s="7"/>
      <c r="M145" s="22">
        <f t="shared" si="2"/>
        <v>0</v>
      </c>
      <c r="N145" s="2">
        <f t="shared" si="3"/>
        <v>0</v>
      </c>
      <c r="O145" s="28">
        <f t="shared" si="5"/>
        <v>0</v>
      </c>
      <c r="P145" s="29">
        <f t="shared" si="6"/>
        <v>0</v>
      </c>
      <c r="Q145" s="30">
        <f t="shared" si="7"/>
        <v>0</v>
      </c>
      <c r="R145" s="29">
        <f t="shared" si="8"/>
        <v>0</v>
      </c>
    </row>
    <row r="146" ht="15.75" customHeight="1">
      <c r="B146" s="2"/>
      <c r="F146" s="7"/>
      <c r="G146" s="7"/>
      <c r="H146" s="7"/>
      <c r="I146" s="2"/>
      <c r="J146" s="12"/>
      <c r="K146" s="7"/>
      <c r="L146" s="7"/>
      <c r="M146" s="22">
        <f t="shared" si="2"/>
        <v>0</v>
      </c>
      <c r="N146" s="2">
        <f t="shared" si="3"/>
        <v>0</v>
      </c>
      <c r="O146" s="28">
        <f t="shared" si="5"/>
        <v>0</v>
      </c>
      <c r="P146" s="29">
        <f t="shared" si="6"/>
        <v>0</v>
      </c>
      <c r="Q146" s="30">
        <f t="shared" si="7"/>
        <v>0</v>
      </c>
      <c r="R146" s="29">
        <f t="shared" si="8"/>
        <v>0</v>
      </c>
    </row>
    <row r="147" ht="15.75" customHeight="1">
      <c r="B147" s="2"/>
      <c r="F147" s="7"/>
      <c r="G147" s="7"/>
      <c r="H147" s="7"/>
      <c r="I147" s="2"/>
      <c r="J147" s="12"/>
      <c r="K147" s="7"/>
      <c r="L147" s="7"/>
      <c r="M147" s="22">
        <f t="shared" si="2"/>
        <v>0</v>
      </c>
      <c r="N147" s="2">
        <f t="shared" si="3"/>
        <v>0</v>
      </c>
      <c r="O147" s="28">
        <f t="shared" si="5"/>
        <v>0</v>
      </c>
      <c r="P147" s="29">
        <f t="shared" si="6"/>
        <v>0</v>
      </c>
      <c r="Q147" s="30">
        <f t="shared" si="7"/>
        <v>0</v>
      </c>
      <c r="R147" s="29">
        <f t="shared" si="8"/>
        <v>0</v>
      </c>
    </row>
    <row r="148" ht="15.75" customHeight="1">
      <c r="B148" s="2"/>
      <c r="F148" s="7"/>
      <c r="G148" s="7"/>
      <c r="H148" s="7"/>
      <c r="I148" s="2"/>
      <c r="J148" s="12"/>
      <c r="K148" s="7"/>
      <c r="L148" s="7"/>
      <c r="M148" s="22">
        <f t="shared" si="2"/>
        <v>0</v>
      </c>
      <c r="N148" s="2">
        <f t="shared" si="3"/>
        <v>0</v>
      </c>
      <c r="O148" s="28">
        <f t="shared" si="5"/>
        <v>0</v>
      </c>
      <c r="P148" s="29">
        <f t="shared" si="6"/>
        <v>0</v>
      </c>
      <c r="Q148" s="30">
        <f t="shared" si="7"/>
        <v>0</v>
      </c>
      <c r="R148" s="29">
        <f t="shared" si="8"/>
        <v>0</v>
      </c>
    </row>
    <row r="149" ht="15.75" customHeight="1">
      <c r="B149" s="2"/>
      <c r="F149" s="7"/>
      <c r="G149" s="7"/>
      <c r="H149" s="7"/>
      <c r="I149" s="2"/>
      <c r="J149" s="12"/>
      <c r="K149" s="7"/>
      <c r="L149" s="7"/>
      <c r="M149" s="22">
        <f t="shared" si="2"/>
        <v>0</v>
      </c>
      <c r="N149" s="2">
        <f t="shared" si="3"/>
        <v>0</v>
      </c>
      <c r="O149" s="28">
        <f t="shared" si="5"/>
        <v>0</v>
      </c>
      <c r="P149" s="29">
        <f t="shared" si="6"/>
        <v>0</v>
      </c>
      <c r="Q149" s="30">
        <f t="shared" si="7"/>
        <v>0</v>
      </c>
      <c r="R149" s="29">
        <f t="shared" si="8"/>
        <v>0</v>
      </c>
    </row>
    <row r="150" ht="15.75" customHeight="1">
      <c r="B150" s="2"/>
      <c r="F150" s="7"/>
      <c r="G150" s="7"/>
      <c r="H150" s="7"/>
      <c r="I150" s="2"/>
      <c r="J150" s="12"/>
      <c r="K150" s="7"/>
      <c r="L150" s="7"/>
      <c r="M150" s="22">
        <f t="shared" si="2"/>
        <v>0</v>
      </c>
      <c r="N150" s="2">
        <f t="shared" si="3"/>
        <v>0</v>
      </c>
      <c r="O150" s="28">
        <f t="shared" si="5"/>
        <v>0</v>
      </c>
      <c r="P150" s="29">
        <f t="shared" si="6"/>
        <v>0</v>
      </c>
      <c r="Q150" s="30">
        <f t="shared" si="7"/>
        <v>0</v>
      </c>
      <c r="R150" s="29">
        <f t="shared" si="8"/>
        <v>0</v>
      </c>
    </row>
    <row r="151" ht="15.75" customHeight="1">
      <c r="B151" s="2"/>
      <c r="F151" s="7"/>
      <c r="G151" s="7"/>
      <c r="H151" s="7"/>
      <c r="I151" s="2"/>
      <c r="J151" s="12"/>
      <c r="K151" s="7"/>
      <c r="L151" s="7"/>
      <c r="M151" s="22">
        <f t="shared" si="2"/>
        <v>0</v>
      </c>
      <c r="N151" s="2">
        <f t="shared" si="3"/>
        <v>0</v>
      </c>
      <c r="O151" s="28">
        <f t="shared" si="5"/>
        <v>0</v>
      </c>
      <c r="P151" s="29">
        <f t="shared" si="6"/>
        <v>0</v>
      </c>
      <c r="Q151" s="30">
        <f t="shared" si="7"/>
        <v>0</v>
      </c>
      <c r="R151" s="29">
        <f t="shared" si="8"/>
        <v>0</v>
      </c>
    </row>
    <row r="152" ht="15.75" customHeight="1">
      <c r="B152" s="2"/>
      <c r="F152" s="7"/>
      <c r="G152" s="7"/>
      <c r="H152" s="7"/>
      <c r="I152" s="2"/>
      <c r="J152" s="12"/>
      <c r="K152" s="7"/>
      <c r="L152" s="7"/>
      <c r="M152" s="22">
        <f t="shared" si="2"/>
        <v>0</v>
      </c>
      <c r="N152" s="2">
        <f t="shared" si="3"/>
        <v>0</v>
      </c>
      <c r="O152" s="28">
        <f t="shared" si="5"/>
        <v>0</v>
      </c>
      <c r="P152" s="29">
        <f t="shared" si="6"/>
        <v>0</v>
      </c>
      <c r="Q152" s="30">
        <f t="shared" si="7"/>
        <v>0</v>
      </c>
      <c r="R152" s="29">
        <f t="shared" si="8"/>
        <v>0</v>
      </c>
    </row>
    <row r="153" ht="15.75" customHeight="1">
      <c r="B153" s="2"/>
      <c r="F153" s="7"/>
      <c r="G153" s="7"/>
      <c r="H153" s="7"/>
      <c r="I153" s="2"/>
      <c r="J153" s="12"/>
      <c r="K153" s="7"/>
      <c r="L153" s="7"/>
      <c r="M153" s="22">
        <f t="shared" si="2"/>
        <v>0</v>
      </c>
      <c r="N153" s="2">
        <f t="shared" si="3"/>
        <v>0</v>
      </c>
      <c r="O153" s="28">
        <f t="shared" si="5"/>
        <v>0</v>
      </c>
      <c r="P153" s="29">
        <f t="shared" si="6"/>
        <v>0</v>
      </c>
      <c r="Q153" s="30">
        <f t="shared" si="7"/>
        <v>0</v>
      </c>
      <c r="R153" s="29">
        <f t="shared" si="8"/>
        <v>0</v>
      </c>
    </row>
    <row r="154" ht="15.75" customHeight="1">
      <c r="B154" s="2"/>
      <c r="F154" s="7"/>
      <c r="G154" s="7"/>
      <c r="H154" s="7"/>
      <c r="I154" s="2"/>
      <c r="J154" s="12"/>
      <c r="K154" s="7"/>
      <c r="L154" s="7"/>
      <c r="M154" s="22">
        <f t="shared" si="2"/>
        <v>0</v>
      </c>
      <c r="N154" s="2">
        <f t="shared" si="3"/>
        <v>0</v>
      </c>
      <c r="O154" s="28">
        <f t="shared" si="5"/>
        <v>0</v>
      </c>
      <c r="P154" s="29">
        <f t="shared" si="6"/>
        <v>0</v>
      </c>
      <c r="Q154" s="30">
        <f t="shared" si="7"/>
        <v>0</v>
      </c>
      <c r="R154" s="29">
        <f t="shared" si="8"/>
        <v>0</v>
      </c>
    </row>
    <row r="155" ht="15.75" customHeight="1">
      <c r="B155" s="2"/>
      <c r="F155" s="7"/>
      <c r="G155" s="7"/>
      <c r="H155" s="7"/>
      <c r="I155" s="2"/>
      <c r="J155" s="12"/>
      <c r="K155" s="7"/>
      <c r="L155" s="7"/>
      <c r="M155" s="22">
        <f t="shared" si="2"/>
        <v>0</v>
      </c>
      <c r="N155" s="2">
        <f t="shared" si="3"/>
        <v>0</v>
      </c>
      <c r="O155" s="28">
        <f t="shared" si="5"/>
        <v>0</v>
      </c>
      <c r="P155" s="29">
        <f t="shared" si="6"/>
        <v>0</v>
      </c>
      <c r="Q155" s="30">
        <f t="shared" si="7"/>
        <v>0</v>
      </c>
      <c r="R155" s="29">
        <f t="shared" si="8"/>
        <v>0</v>
      </c>
    </row>
    <row r="156" ht="15.75" customHeight="1">
      <c r="B156" s="2"/>
      <c r="F156" s="7"/>
      <c r="G156" s="7"/>
      <c r="H156" s="7"/>
      <c r="I156" s="2"/>
      <c r="J156" s="12"/>
      <c r="K156" s="7"/>
      <c r="L156" s="7"/>
      <c r="M156" s="22">
        <f t="shared" si="2"/>
        <v>0</v>
      </c>
      <c r="N156" s="2">
        <f t="shared" si="3"/>
        <v>0</v>
      </c>
      <c r="O156" s="28">
        <f t="shared" si="5"/>
        <v>0</v>
      </c>
      <c r="P156" s="29">
        <f t="shared" si="6"/>
        <v>0</v>
      </c>
      <c r="Q156" s="30">
        <f t="shared" si="7"/>
        <v>0</v>
      </c>
      <c r="R156" s="29">
        <f t="shared" si="8"/>
        <v>0</v>
      </c>
    </row>
    <row r="157" ht="15.75" customHeight="1">
      <c r="B157" s="2"/>
      <c r="F157" s="7"/>
      <c r="G157" s="7"/>
      <c r="H157" s="7"/>
      <c r="I157" s="2"/>
      <c r="J157" s="12"/>
      <c r="K157" s="7"/>
      <c r="L157" s="7"/>
      <c r="M157" s="22">
        <f t="shared" si="2"/>
        <v>0</v>
      </c>
      <c r="N157" s="2">
        <f t="shared" si="3"/>
        <v>0</v>
      </c>
      <c r="O157" s="28">
        <f t="shared" si="5"/>
        <v>0</v>
      </c>
      <c r="P157" s="29">
        <f t="shared" si="6"/>
        <v>0</v>
      </c>
      <c r="Q157" s="30">
        <f t="shared" si="7"/>
        <v>0</v>
      </c>
      <c r="R157" s="29">
        <f t="shared" si="8"/>
        <v>0</v>
      </c>
    </row>
    <row r="158" ht="15.75" customHeight="1">
      <c r="B158" s="2"/>
      <c r="F158" s="7"/>
      <c r="G158" s="7"/>
      <c r="H158" s="7"/>
      <c r="I158" s="2"/>
      <c r="J158" s="12"/>
      <c r="K158" s="7"/>
      <c r="L158" s="7"/>
      <c r="M158" s="22">
        <f t="shared" si="2"/>
        <v>0</v>
      </c>
      <c r="N158" s="2">
        <f t="shared" si="3"/>
        <v>0</v>
      </c>
      <c r="O158" s="28">
        <f t="shared" si="5"/>
        <v>0</v>
      </c>
      <c r="P158" s="29">
        <f t="shared" si="6"/>
        <v>0</v>
      </c>
      <c r="Q158" s="30">
        <f t="shared" si="7"/>
        <v>0</v>
      </c>
      <c r="R158" s="29">
        <f t="shared" si="8"/>
        <v>0</v>
      </c>
    </row>
    <row r="159" ht="15.75" customHeight="1">
      <c r="B159" s="2"/>
      <c r="F159" s="7"/>
      <c r="G159" s="7"/>
      <c r="H159" s="7"/>
      <c r="I159" s="2"/>
      <c r="J159" s="12"/>
      <c r="K159" s="7"/>
      <c r="L159" s="7"/>
      <c r="M159" s="22">
        <f t="shared" si="2"/>
        <v>0</v>
      </c>
      <c r="N159" s="2">
        <f t="shared" si="3"/>
        <v>0</v>
      </c>
      <c r="O159" s="28">
        <f t="shared" si="5"/>
        <v>0</v>
      </c>
      <c r="P159" s="29">
        <f t="shared" si="6"/>
        <v>0</v>
      </c>
      <c r="Q159" s="30">
        <f t="shared" si="7"/>
        <v>0</v>
      </c>
      <c r="R159" s="29">
        <f t="shared" si="8"/>
        <v>0</v>
      </c>
    </row>
    <row r="160" ht="15.75" customHeight="1">
      <c r="B160" s="2"/>
      <c r="F160" s="7"/>
      <c r="G160" s="7"/>
      <c r="H160" s="7"/>
      <c r="I160" s="2"/>
      <c r="J160" s="12"/>
      <c r="K160" s="7"/>
      <c r="L160" s="7"/>
      <c r="M160" s="22">
        <f t="shared" si="2"/>
        <v>0</v>
      </c>
      <c r="N160" s="2">
        <f t="shared" si="3"/>
        <v>0</v>
      </c>
      <c r="O160" s="28">
        <f t="shared" si="5"/>
        <v>0</v>
      </c>
      <c r="P160" s="29">
        <f t="shared" si="6"/>
        <v>0</v>
      </c>
      <c r="Q160" s="30">
        <f t="shared" si="7"/>
        <v>0</v>
      </c>
      <c r="R160" s="29">
        <f t="shared" si="8"/>
        <v>0</v>
      </c>
    </row>
    <row r="161" ht="15.75" customHeight="1">
      <c r="B161" s="2"/>
      <c r="F161" s="7"/>
      <c r="G161" s="7"/>
      <c r="H161" s="7"/>
      <c r="I161" s="2"/>
      <c r="J161" s="12"/>
      <c r="K161" s="7"/>
      <c r="L161" s="7"/>
      <c r="M161" s="22">
        <f t="shared" si="2"/>
        <v>0</v>
      </c>
      <c r="N161" s="2">
        <f t="shared" si="3"/>
        <v>0</v>
      </c>
      <c r="O161" s="28">
        <f t="shared" si="5"/>
        <v>0</v>
      </c>
      <c r="P161" s="29">
        <f t="shared" si="6"/>
        <v>0</v>
      </c>
      <c r="Q161" s="30">
        <f t="shared" si="7"/>
        <v>0</v>
      </c>
      <c r="R161" s="29">
        <f t="shared" si="8"/>
        <v>0</v>
      </c>
    </row>
    <row r="162" ht="15.75" customHeight="1">
      <c r="B162" s="2"/>
      <c r="F162" s="7"/>
      <c r="G162" s="7"/>
      <c r="H162" s="7"/>
      <c r="I162" s="2"/>
      <c r="J162" s="12"/>
      <c r="K162" s="7"/>
      <c r="L162" s="7"/>
      <c r="M162" s="22">
        <f t="shared" si="2"/>
        <v>0</v>
      </c>
      <c r="N162" s="2">
        <f t="shared" si="3"/>
        <v>0</v>
      </c>
      <c r="O162" s="28">
        <f t="shared" si="5"/>
        <v>0</v>
      </c>
      <c r="P162" s="29">
        <f t="shared" si="6"/>
        <v>0</v>
      </c>
      <c r="Q162" s="30">
        <f t="shared" si="7"/>
        <v>0</v>
      </c>
      <c r="R162" s="29">
        <f t="shared" si="8"/>
        <v>0</v>
      </c>
    </row>
    <row r="163" ht="15.75" customHeight="1">
      <c r="B163" s="2"/>
      <c r="F163" s="7"/>
      <c r="G163" s="7"/>
      <c r="H163" s="7"/>
      <c r="I163" s="2"/>
      <c r="J163" s="12"/>
      <c r="K163" s="7"/>
      <c r="L163" s="7"/>
      <c r="M163" s="22">
        <f t="shared" si="2"/>
        <v>0</v>
      </c>
      <c r="N163" s="2">
        <f t="shared" si="3"/>
        <v>0</v>
      </c>
      <c r="O163" s="28">
        <f t="shared" si="5"/>
        <v>0</v>
      </c>
      <c r="P163" s="29">
        <f t="shared" si="6"/>
        <v>0</v>
      </c>
      <c r="Q163" s="30">
        <f t="shared" si="7"/>
        <v>0</v>
      </c>
      <c r="R163" s="29">
        <f t="shared" si="8"/>
        <v>0</v>
      </c>
    </row>
    <row r="164" ht="15.75" customHeight="1">
      <c r="B164" s="2"/>
      <c r="F164" s="7"/>
      <c r="G164" s="7"/>
      <c r="H164" s="7"/>
      <c r="I164" s="2"/>
      <c r="J164" s="12"/>
      <c r="K164" s="7"/>
      <c r="L164" s="7"/>
      <c r="M164" s="22">
        <f t="shared" si="2"/>
        <v>0</v>
      </c>
      <c r="N164" s="2">
        <f t="shared" si="3"/>
        <v>0</v>
      </c>
      <c r="O164" s="28">
        <f t="shared" si="5"/>
        <v>0</v>
      </c>
      <c r="P164" s="29">
        <f t="shared" si="6"/>
        <v>0</v>
      </c>
      <c r="Q164" s="30">
        <f t="shared" si="7"/>
        <v>0</v>
      </c>
      <c r="R164" s="29">
        <f t="shared" si="8"/>
        <v>0</v>
      </c>
    </row>
    <row r="165" ht="15.75" customHeight="1">
      <c r="B165" s="2"/>
      <c r="F165" s="7"/>
      <c r="G165" s="7"/>
      <c r="H165" s="7"/>
      <c r="I165" s="2"/>
      <c r="J165" s="12"/>
      <c r="K165" s="7"/>
      <c r="L165" s="7"/>
      <c r="M165" s="22">
        <f t="shared" si="2"/>
        <v>0</v>
      </c>
      <c r="N165" s="2">
        <f t="shared" si="3"/>
        <v>0</v>
      </c>
      <c r="O165" s="28">
        <f t="shared" si="5"/>
        <v>0</v>
      </c>
      <c r="P165" s="29">
        <f t="shared" si="6"/>
        <v>0</v>
      </c>
      <c r="Q165" s="30">
        <f t="shared" si="7"/>
        <v>0</v>
      </c>
      <c r="R165" s="29">
        <f t="shared" si="8"/>
        <v>0</v>
      </c>
    </row>
    <row r="166" ht="15.75" customHeight="1">
      <c r="B166" s="2"/>
      <c r="F166" s="7"/>
      <c r="G166" s="7"/>
      <c r="H166" s="7"/>
      <c r="I166" s="2"/>
      <c r="J166" s="12"/>
      <c r="K166" s="7"/>
      <c r="L166" s="7"/>
      <c r="M166" s="22">
        <f t="shared" si="2"/>
        <v>0</v>
      </c>
      <c r="N166" s="2">
        <f t="shared" si="3"/>
        <v>0</v>
      </c>
      <c r="O166" s="28">
        <f t="shared" si="5"/>
        <v>0</v>
      </c>
      <c r="P166" s="29">
        <f t="shared" si="6"/>
        <v>0</v>
      </c>
      <c r="Q166" s="30">
        <f t="shared" si="7"/>
        <v>0</v>
      </c>
      <c r="R166" s="29">
        <f t="shared" si="8"/>
        <v>0</v>
      </c>
    </row>
    <row r="167" ht="15.75" customHeight="1">
      <c r="B167" s="2"/>
      <c r="F167" s="7"/>
      <c r="G167" s="7"/>
      <c r="H167" s="7"/>
      <c r="I167" s="2"/>
      <c r="J167" s="12"/>
      <c r="K167" s="7"/>
      <c r="L167" s="7"/>
      <c r="M167" s="22">
        <f t="shared" si="2"/>
        <v>0</v>
      </c>
      <c r="N167" s="2">
        <f t="shared" si="3"/>
        <v>0</v>
      </c>
      <c r="O167" s="28">
        <f t="shared" si="5"/>
        <v>0</v>
      </c>
      <c r="P167" s="29">
        <f t="shared" si="6"/>
        <v>0</v>
      </c>
      <c r="Q167" s="30">
        <f t="shared" si="7"/>
        <v>0</v>
      </c>
      <c r="R167" s="29">
        <f t="shared" si="8"/>
        <v>0</v>
      </c>
    </row>
    <row r="168" ht="15.75" customHeight="1">
      <c r="B168" s="2"/>
      <c r="F168" s="7"/>
      <c r="G168" s="7"/>
      <c r="H168" s="7"/>
      <c r="I168" s="2"/>
      <c r="J168" s="12"/>
      <c r="K168" s="7"/>
      <c r="L168" s="7"/>
      <c r="M168" s="22">
        <f t="shared" si="2"/>
        <v>0</v>
      </c>
      <c r="N168" s="2">
        <f t="shared" si="3"/>
        <v>0</v>
      </c>
      <c r="O168" s="28">
        <f t="shared" si="5"/>
        <v>0</v>
      </c>
      <c r="P168" s="29">
        <f t="shared" si="6"/>
        <v>0</v>
      </c>
      <c r="Q168" s="30">
        <f t="shared" si="7"/>
        <v>0</v>
      </c>
      <c r="R168" s="29">
        <f t="shared" si="8"/>
        <v>0</v>
      </c>
    </row>
    <row r="169" ht="15.75" customHeight="1">
      <c r="B169" s="2"/>
      <c r="F169" s="7"/>
      <c r="G169" s="7"/>
      <c r="H169" s="7"/>
      <c r="I169" s="2"/>
      <c r="J169" s="12"/>
      <c r="K169" s="7"/>
      <c r="L169" s="7"/>
      <c r="M169" s="22">
        <f t="shared" si="2"/>
        <v>0</v>
      </c>
      <c r="N169" s="2">
        <f t="shared" si="3"/>
        <v>0</v>
      </c>
      <c r="O169" s="28">
        <f t="shared" si="5"/>
        <v>0</v>
      </c>
      <c r="P169" s="29">
        <f t="shared" si="6"/>
        <v>0</v>
      </c>
      <c r="Q169" s="30">
        <f t="shared" si="7"/>
        <v>0</v>
      </c>
      <c r="R169" s="29">
        <f t="shared" si="8"/>
        <v>0</v>
      </c>
    </row>
    <row r="170" ht="15.75" customHeight="1">
      <c r="B170" s="2"/>
      <c r="F170" s="7"/>
      <c r="G170" s="7"/>
      <c r="H170" s="7"/>
      <c r="I170" s="2"/>
      <c r="J170" s="12"/>
      <c r="K170" s="7"/>
      <c r="L170" s="7"/>
      <c r="M170" s="22">
        <f t="shared" si="2"/>
        <v>0</v>
      </c>
      <c r="N170" s="2">
        <f t="shared" si="3"/>
        <v>0</v>
      </c>
      <c r="O170" s="28">
        <f t="shared" si="5"/>
        <v>0</v>
      </c>
      <c r="P170" s="29">
        <f t="shared" si="6"/>
        <v>0</v>
      </c>
      <c r="Q170" s="30">
        <f t="shared" si="7"/>
        <v>0</v>
      </c>
      <c r="R170" s="29">
        <f t="shared" si="8"/>
        <v>0</v>
      </c>
    </row>
    <row r="171" ht="15.75" customHeight="1">
      <c r="B171" s="2"/>
      <c r="F171" s="7"/>
      <c r="G171" s="7"/>
      <c r="H171" s="7"/>
      <c r="I171" s="2"/>
      <c r="J171" s="12"/>
      <c r="K171" s="7"/>
      <c r="L171" s="7"/>
      <c r="M171" s="22">
        <f t="shared" si="2"/>
        <v>0</v>
      </c>
      <c r="N171" s="2">
        <f t="shared" si="3"/>
        <v>0</v>
      </c>
      <c r="O171" s="28">
        <f t="shared" si="5"/>
        <v>0</v>
      </c>
      <c r="P171" s="29">
        <f t="shared" si="6"/>
        <v>0</v>
      </c>
      <c r="Q171" s="30">
        <f t="shared" si="7"/>
        <v>0</v>
      </c>
      <c r="R171" s="29">
        <f t="shared" si="8"/>
        <v>0</v>
      </c>
    </row>
    <row r="172" ht="15.75" customHeight="1">
      <c r="B172" s="2"/>
      <c r="F172" s="7"/>
      <c r="G172" s="7"/>
      <c r="H172" s="7"/>
      <c r="I172" s="2"/>
      <c r="J172" s="12"/>
      <c r="K172" s="7"/>
      <c r="L172" s="7"/>
      <c r="M172" s="22">
        <f t="shared" si="2"/>
        <v>0</v>
      </c>
      <c r="N172" s="2">
        <f t="shared" si="3"/>
        <v>0</v>
      </c>
      <c r="O172" s="28">
        <f t="shared" si="5"/>
        <v>0</v>
      </c>
      <c r="P172" s="29">
        <f t="shared" si="6"/>
        <v>0</v>
      </c>
      <c r="Q172" s="30">
        <f t="shared" si="7"/>
        <v>0</v>
      </c>
      <c r="R172" s="29">
        <f t="shared" si="8"/>
        <v>0</v>
      </c>
    </row>
    <row r="173" ht="15.75" customHeight="1">
      <c r="B173" s="2"/>
      <c r="F173" s="7"/>
      <c r="G173" s="7"/>
      <c r="H173" s="7"/>
      <c r="I173" s="2"/>
      <c r="J173" s="12"/>
      <c r="K173" s="7"/>
      <c r="L173" s="7"/>
      <c r="M173" s="22">
        <f t="shared" si="2"/>
        <v>0</v>
      </c>
      <c r="N173" s="2">
        <f t="shared" si="3"/>
        <v>0</v>
      </c>
      <c r="O173" s="28">
        <f t="shared" si="5"/>
        <v>0</v>
      </c>
      <c r="P173" s="29">
        <f t="shared" si="6"/>
        <v>0</v>
      </c>
      <c r="Q173" s="30">
        <f t="shared" si="7"/>
        <v>0</v>
      </c>
      <c r="R173" s="29">
        <f t="shared" si="8"/>
        <v>0</v>
      </c>
    </row>
    <row r="174" ht="15.75" customHeight="1">
      <c r="B174" s="2"/>
      <c r="F174" s="7"/>
      <c r="G174" s="7"/>
      <c r="H174" s="7"/>
      <c r="I174" s="2"/>
      <c r="J174" s="12"/>
      <c r="K174" s="7"/>
      <c r="L174" s="7"/>
      <c r="M174" s="22">
        <f t="shared" si="2"/>
        <v>0</v>
      </c>
      <c r="N174" s="2">
        <f t="shared" si="3"/>
        <v>0</v>
      </c>
      <c r="O174" s="28">
        <f t="shared" si="5"/>
        <v>0</v>
      </c>
      <c r="P174" s="29">
        <f t="shared" si="6"/>
        <v>0</v>
      </c>
      <c r="Q174" s="30">
        <f t="shared" si="7"/>
        <v>0</v>
      </c>
      <c r="R174" s="29">
        <f t="shared" si="8"/>
        <v>0</v>
      </c>
    </row>
    <row r="175" ht="15.75" customHeight="1">
      <c r="B175" s="2"/>
      <c r="F175" s="7"/>
      <c r="G175" s="7"/>
      <c r="H175" s="7"/>
      <c r="I175" s="2"/>
      <c r="J175" s="12"/>
      <c r="K175" s="7"/>
      <c r="L175" s="7"/>
      <c r="M175" s="22">
        <f t="shared" si="2"/>
        <v>0</v>
      </c>
      <c r="N175" s="2">
        <f t="shared" si="3"/>
        <v>0</v>
      </c>
      <c r="O175" s="28">
        <f t="shared" si="5"/>
        <v>0</v>
      </c>
      <c r="P175" s="29">
        <f t="shared" si="6"/>
        <v>0</v>
      </c>
      <c r="Q175" s="30">
        <f t="shared" si="7"/>
        <v>0</v>
      </c>
      <c r="R175" s="29">
        <f t="shared" si="8"/>
        <v>0</v>
      </c>
    </row>
    <row r="176" ht="15.75" customHeight="1">
      <c r="B176" s="2"/>
      <c r="F176" s="7"/>
      <c r="G176" s="7"/>
      <c r="H176" s="7"/>
      <c r="I176" s="2"/>
      <c r="J176" s="12"/>
      <c r="K176" s="7"/>
      <c r="L176" s="7"/>
      <c r="M176" s="22">
        <f t="shared" si="2"/>
        <v>0</v>
      </c>
      <c r="N176" s="2">
        <f t="shared" si="3"/>
        <v>0</v>
      </c>
      <c r="O176" s="28">
        <f t="shared" si="5"/>
        <v>0</v>
      </c>
      <c r="P176" s="29">
        <f t="shared" si="6"/>
        <v>0</v>
      </c>
      <c r="Q176" s="30">
        <f t="shared" si="7"/>
        <v>0</v>
      </c>
      <c r="R176" s="29">
        <f t="shared" si="8"/>
        <v>0</v>
      </c>
    </row>
    <row r="177" ht="15.75" customHeight="1">
      <c r="B177" s="2"/>
      <c r="F177" s="7"/>
      <c r="G177" s="7"/>
      <c r="H177" s="7"/>
      <c r="I177" s="2"/>
      <c r="J177" s="12"/>
      <c r="K177" s="7"/>
      <c r="L177" s="7"/>
      <c r="M177" s="22">
        <f t="shared" si="2"/>
        <v>0</v>
      </c>
      <c r="N177" s="2">
        <f t="shared" si="3"/>
        <v>0</v>
      </c>
      <c r="O177" s="28">
        <f t="shared" si="5"/>
        <v>0</v>
      </c>
      <c r="P177" s="29">
        <f t="shared" si="6"/>
        <v>0</v>
      </c>
      <c r="Q177" s="30">
        <f t="shared" si="7"/>
        <v>0</v>
      </c>
      <c r="R177" s="29">
        <f t="shared" si="8"/>
        <v>0</v>
      </c>
    </row>
    <row r="178" ht="15.75" customHeight="1">
      <c r="B178" s="2"/>
      <c r="F178" s="7"/>
      <c r="G178" s="7"/>
      <c r="H178" s="7"/>
      <c r="I178" s="2"/>
      <c r="J178" s="12"/>
      <c r="K178" s="7"/>
      <c r="L178" s="7"/>
      <c r="M178" s="22">
        <f t="shared" si="2"/>
        <v>0</v>
      </c>
      <c r="N178" s="2">
        <f t="shared" si="3"/>
        <v>0</v>
      </c>
      <c r="O178" s="28">
        <f t="shared" si="5"/>
        <v>0</v>
      </c>
      <c r="P178" s="29">
        <f t="shared" si="6"/>
        <v>0</v>
      </c>
      <c r="Q178" s="30">
        <f t="shared" si="7"/>
        <v>0</v>
      </c>
      <c r="R178" s="29">
        <f t="shared" si="8"/>
        <v>0</v>
      </c>
    </row>
    <row r="179" ht="15.75" customHeight="1">
      <c r="B179" s="2"/>
      <c r="F179" s="7"/>
      <c r="G179" s="7"/>
      <c r="H179" s="7"/>
      <c r="I179" s="2"/>
      <c r="J179" s="12"/>
      <c r="K179" s="7"/>
      <c r="L179" s="7"/>
      <c r="M179" s="22">
        <f t="shared" si="2"/>
        <v>0</v>
      </c>
      <c r="N179" s="2">
        <f t="shared" si="3"/>
        <v>0</v>
      </c>
      <c r="O179" s="28">
        <f t="shared" si="5"/>
        <v>0</v>
      </c>
      <c r="P179" s="29">
        <f t="shared" si="6"/>
        <v>0</v>
      </c>
      <c r="Q179" s="30">
        <f t="shared" si="7"/>
        <v>0</v>
      </c>
      <c r="R179" s="29">
        <f t="shared" si="8"/>
        <v>0</v>
      </c>
    </row>
    <row r="180" ht="15.75" customHeight="1">
      <c r="B180" s="2"/>
      <c r="F180" s="7"/>
      <c r="G180" s="7"/>
      <c r="H180" s="7"/>
      <c r="I180" s="2"/>
      <c r="J180" s="12"/>
      <c r="K180" s="7"/>
      <c r="L180" s="7"/>
      <c r="M180" s="22">
        <f t="shared" si="2"/>
        <v>0</v>
      </c>
      <c r="N180" s="2">
        <f t="shared" si="3"/>
        <v>0</v>
      </c>
      <c r="O180" s="28">
        <f t="shared" si="5"/>
        <v>0</v>
      </c>
      <c r="P180" s="29">
        <f t="shared" si="6"/>
        <v>0</v>
      </c>
      <c r="Q180" s="30">
        <f t="shared" si="7"/>
        <v>0</v>
      </c>
      <c r="R180" s="29">
        <f t="shared" si="8"/>
        <v>0</v>
      </c>
    </row>
    <row r="181" ht="15.75" customHeight="1">
      <c r="B181" s="2"/>
      <c r="F181" s="7"/>
      <c r="G181" s="7"/>
      <c r="H181" s="7"/>
      <c r="I181" s="2"/>
      <c r="J181" s="12"/>
      <c r="K181" s="7"/>
      <c r="L181" s="7"/>
      <c r="M181" s="22">
        <f t="shared" si="2"/>
        <v>0</v>
      </c>
      <c r="N181" s="2">
        <f t="shared" si="3"/>
        <v>0</v>
      </c>
      <c r="O181" s="28">
        <f t="shared" si="5"/>
        <v>0</v>
      </c>
      <c r="P181" s="29">
        <f t="shared" si="6"/>
        <v>0</v>
      </c>
      <c r="Q181" s="30">
        <f t="shared" si="7"/>
        <v>0</v>
      </c>
      <c r="R181" s="29">
        <f t="shared" si="8"/>
        <v>0</v>
      </c>
    </row>
    <row r="182" ht="15.75" customHeight="1">
      <c r="B182" s="2"/>
      <c r="F182" s="7"/>
      <c r="G182" s="7"/>
      <c r="H182" s="7"/>
      <c r="I182" s="2"/>
      <c r="J182" s="12"/>
      <c r="K182" s="7"/>
      <c r="L182" s="7"/>
      <c r="M182" s="22">
        <f t="shared" si="2"/>
        <v>0</v>
      </c>
      <c r="N182" s="2">
        <f t="shared" si="3"/>
        <v>0</v>
      </c>
      <c r="O182" s="28">
        <f t="shared" si="5"/>
        <v>0</v>
      </c>
      <c r="P182" s="29">
        <f t="shared" si="6"/>
        <v>0</v>
      </c>
      <c r="Q182" s="30">
        <f t="shared" si="7"/>
        <v>0</v>
      </c>
      <c r="R182" s="29">
        <f t="shared" si="8"/>
        <v>0</v>
      </c>
    </row>
    <row r="183" ht="15.75" customHeight="1">
      <c r="P183" s="29">
        <f t="shared" si="6"/>
        <v>0</v>
      </c>
      <c r="Q183" s="29" t="str">
        <f t="shared" si="7"/>
        <v/>
      </c>
      <c r="R183" s="29">
        <f t="shared" si="8"/>
        <v>0</v>
      </c>
    </row>
    <row r="184" ht="15.75" customHeight="1">
      <c r="P184" s="29">
        <f t="shared" si="6"/>
        <v>0</v>
      </c>
      <c r="Q184" s="29" t="str">
        <f t="shared" si="7"/>
        <v/>
      </c>
      <c r="R184" s="29">
        <f t="shared" si="8"/>
        <v>0</v>
      </c>
    </row>
    <row r="185" ht="15.75" customHeight="1">
      <c r="P185" s="29">
        <f t="shared" si="6"/>
        <v>0</v>
      </c>
      <c r="Q185" s="29" t="str">
        <f t="shared" si="7"/>
        <v/>
      </c>
      <c r="R185" s="29">
        <f t="shared" si="8"/>
        <v>0</v>
      </c>
    </row>
    <row r="186" ht="15.75" customHeight="1">
      <c r="P186" s="29">
        <f t="shared" si="6"/>
        <v>0</v>
      </c>
      <c r="Q186" s="29" t="str">
        <f t="shared" si="7"/>
        <v/>
      </c>
      <c r="R186" s="29">
        <f t="shared" si="8"/>
        <v>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P1:S1"/>
    <mergeCell ref="U1:X1"/>
    <mergeCell ref="D7:D8"/>
    <mergeCell ref="P16:S16"/>
    <mergeCell ref="U16:X16"/>
    <mergeCell ref="P29:S29"/>
    <mergeCell ref="U29:X29"/>
  </mergeCells>
  <conditionalFormatting sqref="D38:E52">
    <cfRule type="cellIs" dxfId="0" priority="1" operator="greaterThan">
      <formula>B45</formula>
    </cfRule>
  </conditionalFormatting>
  <conditionalFormatting sqref="D38:E52">
    <cfRule type="cellIs" dxfId="1" priority="2" operator="lessThanOrEqual">
      <formula>B45</formula>
    </cfRule>
  </conditionalFormatting>
  <conditionalFormatting sqref="C18:C26 C29:C42">
    <cfRule type="cellIs" dxfId="0" priority="3" operator="greaterThan">
      <formula>B18</formula>
    </cfRule>
  </conditionalFormatting>
  <conditionalFormatting sqref="C18:C26 C29:C42">
    <cfRule type="cellIs" dxfId="1" priority="4" operator="lessThanOrEqual">
      <formula>B18</formula>
    </cfRule>
  </conditionalFormatting>
  <conditionalFormatting sqref="B47:C47">
    <cfRule type="cellIs" dxfId="2" priority="5" operator="greaterThan">
      <formula>0</formula>
    </cfRule>
  </conditionalFormatting>
  <conditionalFormatting sqref="B47:C47">
    <cfRule type="cellIs" dxfId="3" priority="6" operator="lessThanOrEqual">
      <formula>0</formula>
    </cfRule>
  </conditionalFormatting>
  <dataValidations>
    <dataValidation type="list" allowBlank="1" showErrorMessage="1" sqref="H18:H182">
      <formula1>May!$A$18:$A$42</formula1>
    </dataValidation>
    <dataValidation type="list" allowBlank="1" showErrorMessage="1" sqref="K18:K182">
      <formula1>'CARD USED - LIST'!$A$2:$A$50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3" width="12.63"/>
    <col customWidth="1" min="4" max="4" width="19.5"/>
    <col customWidth="1" min="5" max="5" width="5.63"/>
    <col customWidth="1" min="6" max="6" width="22.88"/>
    <col customWidth="1" min="7" max="7" width="17.38"/>
    <col customWidth="1" min="8" max="8" width="14.88"/>
    <col customWidth="1" min="10" max="10" width="11.38"/>
    <col customWidth="1" min="11" max="11" width="19.5"/>
    <col customWidth="1" min="12" max="12" width="12.75"/>
    <col customWidth="1" min="14" max="14" width="16.63"/>
    <col customWidth="1" min="16" max="16" width="28.0"/>
    <col customWidth="1" min="17" max="17" width="16.0"/>
    <col customWidth="1" min="18" max="18" width="12.0"/>
    <col customWidth="1" min="19" max="19" width="18.0"/>
    <col customWidth="1" min="20" max="20" width="4.0"/>
    <col customWidth="1" min="21" max="21" width="28.0"/>
    <col customWidth="1" min="22" max="22" width="16.0"/>
    <col customWidth="1" min="23" max="23" width="12.0"/>
    <col customWidth="1" min="24" max="24" width="18.0"/>
  </cols>
  <sheetData>
    <row r="1" ht="21.75" customHeight="1">
      <c r="A1" s="1" t="s">
        <v>0</v>
      </c>
      <c r="B1" s="2"/>
      <c r="F1" s="1" t="s">
        <v>1</v>
      </c>
      <c r="J1" s="1"/>
      <c r="P1" s="3" t="s">
        <v>2</v>
      </c>
      <c r="U1" s="3" t="s">
        <v>3</v>
      </c>
    </row>
    <row r="2" ht="15.75" customHeight="1">
      <c r="A2" s="4" t="s">
        <v>4</v>
      </c>
      <c r="B2" s="5" t="s">
        <v>5</v>
      </c>
      <c r="C2" s="4" t="s">
        <v>6</v>
      </c>
      <c r="D2" s="4" t="s">
        <v>7</v>
      </c>
      <c r="F2" s="4" t="s">
        <v>4</v>
      </c>
      <c r="G2" s="5" t="s">
        <v>5</v>
      </c>
      <c r="H2" s="4" t="s">
        <v>6</v>
      </c>
      <c r="P2" s="6" t="s">
        <v>8</v>
      </c>
      <c r="Q2" s="6" t="s">
        <v>9</v>
      </c>
      <c r="R2" s="6" t="s">
        <v>5</v>
      </c>
      <c r="S2" s="6" t="s">
        <v>10</v>
      </c>
      <c r="U2" s="6" t="s">
        <v>8</v>
      </c>
      <c r="V2" s="6" t="s">
        <v>9</v>
      </c>
      <c r="W2" s="6" t="s">
        <v>5</v>
      </c>
      <c r="X2" s="6" t="s">
        <v>10</v>
      </c>
    </row>
    <row r="3" ht="15.75" customHeight="1">
      <c r="A3" s="7" t="s">
        <v>11</v>
      </c>
      <c r="B3" s="2">
        <v>3696.46</v>
      </c>
      <c r="C3" s="8">
        <v>45784.0</v>
      </c>
      <c r="F3" s="7" t="s">
        <v>11</v>
      </c>
      <c r="G3" s="2">
        <v>3696.46</v>
      </c>
      <c r="H3" s="8"/>
      <c r="P3" s="9" t="str">
        <f>IFERROR(__xludf.DUMMYFUNCTION("ARRAY_CONSTRAIN(ARRAYFORMULA(IFERROR(INDEX(SORT(FILTER({$F$18:$F$984,$H$18:$H$984,$I$18:$I$984,$K$18:$K$984}, (($H$18:$H$984=""Eating out"")+($H$18:$H$984=""Groceries""))*($I$18:$I$984&gt;0)), 3, FALSE), ROWS($P$3:P3), 1), """")), 10, 1)"),"")</f>
        <v/>
      </c>
      <c r="Q3" s="9" t="str">
        <f>IFERROR(__xludf.DUMMYFUNCTION("IFERROR(INDEX(SORT(FILTER({$F$18:$F$984,$H$18:$H$984,$I$18:$I$984,$K$18:$K$984}, (($H$18:$H$984=""Eating out"")+($H$18:$H$984=""Groceries""))*($I$18:$I$984&gt;0)), 3, FALSE), ROWS($P$3:P3), 2), """")"),"")</f>
        <v/>
      </c>
      <c r="R3" s="10" t="str">
        <f>IFERROR(__xludf.DUMMYFUNCTION("IFERROR(INDEX(SORT(FILTER({$F$18:$F$984,$H$18:$H$984,$I$18:$I$984,$K$18:$K$984}, (($H$18:$H$984=""Eating out"")+($H$18:$H$984=""Groceries""))*($I$18:$I$984&gt;0)), 3, FALSE), ROWS($P$3:P3), 3), """")"),"")</f>
        <v/>
      </c>
      <c r="S3" s="9" t="str">
        <f>IFERROR(__xludf.DUMMYFUNCTION("IFERROR(INDEX(SORT(FILTER({$F$18:$F$984,$H$18:$H$984,$I$18:$I$984,$K$18:$K$984}, (($H$18:$H$984=""Eating out"")+($H$18:$H$984=""Groceries""))*($I$18:$I$984&gt;0)), 3, FALSE), ROWS($P$3:P3), 4), """")"),"")</f>
        <v/>
      </c>
      <c r="U3" s="9" t="str">
        <f>IFERROR(__xludf.DUMMYFUNCTION("ARRAY_CONSTRAIN(ARRAYFORMULA(IFERROR(INDEX(SORT(FILTER({$F$18:$F$984,$H$18:$H$984,$I$18:$I$984,$K$18:$K$984}, ($H$18:$H$984=""Coffee/ drinks"")*($I$18:$I$984&gt;0)), 3, FALSE), ROWS($U$3:U3), 1), """")), 10, 1)"),"")</f>
        <v/>
      </c>
      <c r="V3" s="9" t="str">
        <f>IFERROR(__xludf.DUMMYFUNCTION("IFERROR(INDEX(SORT(FILTER({$F$18:$F$984,$H$18:$H$984,$I$18:$I$984,$K$18:$K$984}, ($H$18:$H$984=""Coffee/ drinks"")*($I$18:$I$984&gt;0)), 3, FALSE), ROWS($U$3:U3), 2), """")"),"")</f>
        <v/>
      </c>
      <c r="W3" s="10" t="str">
        <f>IFERROR(__xludf.DUMMYFUNCTION("IFERROR(INDEX(SORT(FILTER({$F$18:$F$984,$H$18:$H$984,$I$18:$I$984,$K$18:$K$984}, ($H$18:$H$984=""Coffee/ drinks"")*($I$18:$I$984&gt;0)), 3, FALSE), ROWS($U$3:U3), 3), """")"),"")</f>
        <v/>
      </c>
      <c r="X3" s="9" t="str">
        <f>IFERROR(__xludf.DUMMYFUNCTION("IFERROR(INDEX(SORT(FILTER({$F$18:$F$984,$H$18:$H$984,$I$18:$I$984,$K$18:$K$984}, ($H$18:$H$984=""Coffee/ drinks"")*($I$18:$I$984&gt;0)), 3, FALSE), ROWS($U$3:U3), 4), """")"),"")</f>
        <v/>
      </c>
    </row>
    <row r="4" ht="15.75" customHeight="1">
      <c r="A4" s="7" t="s">
        <v>12</v>
      </c>
      <c r="B4" s="2">
        <v>3696.46</v>
      </c>
      <c r="C4" s="8">
        <v>45798.0</v>
      </c>
      <c r="F4" s="7" t="s">
        <v>12</v>
      </c>
      <c r="G4" s="2">
        <v>3696.46</v>
      </c>
      <c r="H4" s="8"/>
      <c r="P4" s="9" t="str">
        <f>IFERROR(__xludf.DUMMYFUNCTION("IFERROR(INDEX(SORT(FILTER({$F$18:$F$984,$H$18:$H$984,$I$18:$I$984,$K$18:$K$984}, (($H$18:$H$984=""Eating out"")+($H$18:$H$984=""Groceries""))*($I$18:$I$984&gt;0)), 3, FALSE), ROWS($P$3:P4), 1), """")"),"")</f>
        <v/>
      </c>
      <c r="Q4" s="9" t="str">
        <f>IFERROR(__xludf.DUMMYFUNCTION("IFERROR(INDEX(SORT(FILTER({$F$18:$F$984,$H$18:$H$984,$I$18:$I$984,$K$18:$K$984}, (($H$18:$H$984=""Eating out"")+($H$18:$H$984=""Groceries""))*($I$18:$I$984&gt;0)), 3, FALSE), ROWS($P$3:P4), 2), """")"),"")</f>
        <v/>
      </c>
      <c r="R4" s="10" t="str">
        <f>IFERROR(__xludf.DUMMYFUNCTION("IFERROR(INDEX(SORT(FILTER({$F$18:$F$984,$H$18:$H$984,$I$18:$I$984,$K$18:$K$984}, (($H$18:$H$984=""Eating out"")+($H$18:$H$984=""Groceries""))*($I$18:$I$984&gt;0)), 3, FALSE), ROWS($P$3:P4), 3), """")"),"")</f>
        <v/>
      </c>
      <c r="S4" s="9" t="str">
        <f>IFERROR(__xludf.DUMMYFUNCTION("IFERROR(INDEX(SORT(FILTER({$F$18:$F$984,$H$18:$H$984,$I$18:$I$984,$K$18:$K$984}, (($H$18:$H$984=""Eating out"")+($H$18:$H$984=""Groceries""))*($I$18:$I$984&gt;0)), 3, FALSE), ROWS($P$3:P4), 4), """")"),"")</f>
        <v/>
      </c>
      <c r="U4" s="9" t="str">
        <f>IFERROR(__xludf.DUMMYFUNCTION("IFERROR(INDEX(SORT(FILTER({$F$18:$F$984,$H$18:$H$984,$I$18:$I$984,$K$18:$K$984}, ($H$18:$H$984=""Coffee/ drinks"")*($I$18:$I$984&gt;0)), 3, FALSE), ROWS($U$3:U4), 1), """")"),"")</f>
        <v/>
      </c>
      <c r="V4" s="9" t="str">
        <f>IFERROR(__xludf.DUMMYFUNCTION("IFERROR(INDEX(SORT(FILTER({$F$18:$F$984,$H$18:$H$984,$I$18:$I$984,$K$18:$K$984}, ($H$18:$H$984=""Coffee/ drinks"")*($I$18:$I$984&gt;0)), 3, FALSE), ROWS($U$3:U4), 2), """")"),"")</f>
        <v/>
      </c>
      <c r="W4" s="10" t="str">
        <f>IFERROR(__xludf.DUMMYFUNCTION("IFERROR(INDEX(SORT(FILTER({$F$18:$F$984,$H$18:$H$984,$I$18:$I$984,$K$18:$K$984}, ($H$18:$H$984=""Coffee/ drinks"")*($I$18:$I$984&gt;0)), 3, FALSE), ROWS($U$3:U4), 3), """")"),"")</f>
        <v/>
      </c>
      <c r="X4" s="9" t="str">
        <f>IFERROR(__xludf.DUMMYFUNCTION("IFERROR(INDEX(SORT(FILTER({$F$18:$F$984,$H$18:$H$984,$I$18:$I$984,$K$18:$K$984}, ($H$18:$H$984=""Coffee/ drinks"")*($I$18:$I$984&gt;0)), 3, FALSE), ROWS($U$3:U4), 4), """")"),"")</f>
        <v/>
      </c>
    </row>
    <row r="5" ht="15.75" customHeight="1">
      <c r="A5" s="7" t="s">
        <v>13</v>
      </c>
      <c r="B5" s="2">
        <v>0.0</v>
      </c>
      <c r="C5" s="8">
        <v>45784.0</v>
      </c>
      <c r="F5" s="7" t="s">
        <v>13</v>
      </c>
      <c r="G5" s="2">
        <v>0.0</v>
      </c>
      <c r="H5" s="8"/>
      <c r="P5" s="9" t="str">
        <f>IFERROR(__xludf.DUMMYFUNCTION("IFERROR(INDEX(SORT(FILTER({$F$18:$F$984,$H$18:$H$984,$I$18:$I$984,$K$18:$K$984}, (($H$18:$H$984=""Eating out"")+($H$18:$H$984=""Groceries""))*($I$18:$I$984&gt;0)), 3, FALSE), ROWS($P$3:P5), 1), """")"),"")</f>
        <v/>
      </c>
      <c r="Q5" s="9" t="str">
        <f>IFERROR(__xludf.DUMMYFUNCTION("IFERROR(INDEX(SORT(FILTER({$F$18:$F$984,$H$18:$H$984,$I$18:$I$984,$K$18:$K$984}, (($H$18:$H$984=""Eating out"")+($H$18:$H$984=""Groceries""))*($I$18:$I$984&gt;0)), 3, FALSE), ROWS($P$3:P5), 2), """")"),"")</f>
        <v/>
      </c>
      <c r="R5" s="10" t="str">
        <f>IFERROR(__xludf.DUMMYFUNCTION("IFERROR(INDEX(SORT(FILTER({$F$18:$F$984,$H$18:$H$984,$I$18:$I$984,$K$18:$K$984}, (($H$18:$H$984=""Eating out"")+($H$18:$H$984=""Groceries""))*($I$18:$I$984&gt;0)), 3, FALSE), ROWS($P$3:P5), 3), """")"),"")</f>
        <v/>
      </c>
      <c r="S5" s="9" t="str">
        <f>IFERROR(__xludf.DUMMYFUNCTION("IFERROR(INDEX(SORT(FILTER({$F$18:$F$984,$H$18:$H$984,$I$18:$I$984,$K$18:$K$984}, (($H$18:$H$984=""Eating out"")+($H$18:$H$984=""Groceries""))*($I$18:$I$984&gt;0)), 3, FALSE), ROWS($P$3:P5), 4), """")"),"")</f>
        <v/>
      </c>
      <c r="U5" s="9" t="str">
        <f>IFERROR(__xludf.DUMMYFUNCTION("IFERROR(INDEX(SORT(FILTER({$F$18:$F$984,$H$18:$H$984,$I$18:$I$984,$K$18:$K$984}, ($H$18:$H$984=""Coffee/ drinks"")*($I$18:$I$984&gt;0)), 3, FALSE), ROWS($U$3:U5), 1), """")"),"")</f>
        <v/>
      </c>
      <c r="V5" s="9" t="str">
        <f>IFERROR(__xludf.DUMMYFUNCTION("IFERROR(INDEX(SORT(FILTER({$F$18:$F$984,$H$18:$H$984,$I$18:$I$984,$K$18:$K$984}, ($H$18:$H$984=""Coffee/ drinks"")*($I$18:$I$984&gt;0)), 3, FALSE), ROWS($U$3:U5), 2), """")"),"")</f>
        <v/>
      </c>
      <c r="W5" s="10" t="str">
        <f>IFERROR(__xludf.DUMMYFUNCTION("IFERROR(INDEX(SORT(FILTER({$F$18:$F$984,$H$18:$H$984,$I$18:$I$984,$K$18:$K$984}, ($H$18:$H$984=""Coffee/ drinks"")*($I$18:$I$984&gt;0)), 3, FALSE), ROWS($U$3:U5), 3), """")"),"")</f>
        <v/>
      </c>
      <c r="X5" s="9" t="str">
        <f>IFERROR(__xludf.DUMMYFUNCTION("IFERROR(INDEX(SORT(FILTER({$F$18:$F$984,$H$18:$H$984,$I$18:$I$984,$K$18:$K$984}, ($H$18:$H$984=""Coffee/ drinks"")*($I$18:$I$984&gt;0)), 3, FALSE), ROWS($U$3:U5), 4), """")"),"")</f>
        <v/>
      </c>
    </row>
    <row r="6" ht="15.75" customHeight="1">
      <c r="A6" s="7" t="s">
        <v>14</v>
      </c>
      <c r="B6" s="2">
        <v>0.0</v>
      </c>
      <c r="C6" s="8">
        <v>45798.0</v>
      </c>
      <c r="F6" s="7" t="s">
        <v>14</v>
      </c>
      <c r="G6" s="2">
        <v>0.0</v>
      </c>
      <c r="H6" s="8"/>
      <c r="P6" s="9" t="str">
        <f>IFERROR(__xludf.DUMMYFUNCTION("IFERROR(INDEX(SORT(FILTER({$F$18:$F$984,$H$18:$H$984,$I$18:$I$984,$K$18:$K$984}, (($H$18:$H$984=""Eating out"")+($H$18:$H$984=""Groceries""))*($I$18:$I$984&gt;0)), 3, FALSE), ROWS($P$3:P6), 1), """")"),"")</f>
        <v/>
      </c>
      <c r="Q6" s="9" t="str">
        <f>IFERROR(__xludf.DUMMYFUNCTION("IFERROR(INDEX(SORT(FILTER({$F$18:$F$984,$H$18:$H$984,$I$18:$I$984,$K$18:$K$984}, (($H$18:$H$984=""Eating out"")+($H$18:$H$984=""Groceries""))*($I$18:$I$984&gt;0)), 3, FALSE), ROWS($P$3:P6), 2), """")"),"")</f>
        <v/>
      </c>
      <c r="R6" s="10" t="str">
        <f>IFERROR(__xludf.DUMMYFUNCTION("IFERROR(INDEX(SORT(FILTER({$F$18:$F$984,$H$18:$H$984,$I$18:$I$984,$K$18:$K$984}, (($H$18:$H$984=""Eating out"")+($H$18:$H$984=""Groceries""))*($I$18:$I$984&gt;0)), 3, FALSE), ROWS($P$3:P6), 3), """")"),"")</f>
        <v/>
      </c>
      <c r="S6" s="9" t="str">
        <f>IFERROR(__xludf.DUMMYFUNCTION("IFERROR(INDEX(SORT(FILTER({$F$18:$F$984,$H$18:$H$984,$I$18:$I$984,$K$18:$K$984}, (($H$18:$H$984=""Eating out"")+($H$18:$H$984=""Groceries""))*($I$18:$I$984&gt;0)), 3, FALSE), ROWS($P$3:P6), 4), """")"),"")</f>
        <v/>
      </c>
      <c r="U6" s="9" t="str">
        <f>IFERROR(__xludf.DUMMYFUNCTION("IFERROR(INDEX(SORT(FILTER({$F$18:$F$984,$H$18:$H$984,$I$18:$I$984,$K$18:$K$984}, ($H$18:$H$984=""Coffee/ drinks"")*($I$18:$I$984&gt;0)), 3, FALSE), ROWS($U$3:U6), 1), """")"),"")</f>
        <v/>
      </c>
      <c r="V6" s="9" t="str">
        <f>IFERROR(__xludf.DUMMYFUNCTION("IFERROR(INDEX(SORT(FILTER({$F$18:$F$984,$H$18:$H$984,$I$18:$I$984,$K$18:$K$984}, ($H$18:$H$984=""Coffee/ drinks"")*($I$18:$I$984&gt;0)), 3, FALSE), ROWS($U$3:U6), 2), """")"),"")</f>
        <v/>
      </c>
      <c r="W6" s="10" t="str">
        <f>IFERROR(__xludf.DUMMYFUNCTION("IFERROR(INDEX(SORT(FILTER({$F$18:$F$984,$H$18:$H$984,$I$18:$I$984,$K$18:$K$984}, ($H$18:$H$984=""Coffee/ drinks"")*($I$18:$I$984&gt;0)), 3, FALSE), ROWS($U$3:U6), 3), """")"),"")</f>
        <v/>
      </c>
      <c r="X6" s="9" t="str">
        <f>IFERROR(__xludf.DUMMYFUNCTION("IFERROR(INDEX(SORT(FILTER({$F$18:$F$984,$H$18:$H$984,$I$18:$I$984,$K$18:$K$984}, ($H$18:$H$984=""Coffee/ drinks"")*($I$18:$I$984&gt;0)), 3, FALSE), ROWS($U$3:U6), 4), """")"),"")</f>
        <v/>
      </c>
    </row>
    <row r="7" ht="15.75" customHeight="1">
      <c r="A7" s="7" t="s">
        <v>15</v>
      </c>
      <c r="B7" s="2"/>
      <c r="C7" s="8">
        <v>45808.0</v>
      </c>
      <c r="D7" s="11"/>
      <c r="F7" s="7" t="s">
        <v>15</v>
      </c>
      <c r="G7" s="2">
        <v>0.0</v>
      </c>
      <c r="H7" s="8"/>
      <c r="P7" s="9" t="str">
        <f>IFERROR(__xludf.DUMMYFUNCTION("IFERROR(INDEX(SORT(FILTER({$F$18:$F$984,$H$18:$H$984,$I$18:$I$984,$K$18:$K$984}, (($H$18:$H$984=""Eating out"")+($H$18:$H$984=""Groceries""))*($I$18:$I$984&gt;0)), 3, FALSE), ROWS($P$3:P7), 1), """")"),"")</f>
        <v/>
      </c>
      <c r="Q7" s="9" t="str">
        <f>IFERROR(__xludf.DUMMYFUNCTION("IFERROR(INDEX(SORT(FILTER({$F$18:$F$984,$H$18:$H$984,$I$18:$I$984,$K$18:$K$984}, (($H$18:$H$984=""Eating out"")+($H$18:$H$984=""Groceries""))*($I$18:$I$984&gt;0)), 3, FALSE), ROWS($P$3:P7), 2), """")"),"")</f>
        <v/>
      </c>
      <c r="R7" s="10" t="str">
        <f>IFERROR(__xludf.DUMMYFUNCTION("IFERROR(INDEX(SORT(FILTER({$F$18:$F$984,$H$18:$H$984,$I$18:$I$984,$K$18:$K$984}, (($H$18:$H$984=""Eating out"")+($H$18:$H$984=""Groceries""))*($I$18:$I$984&gt;0)), 3, FALSE), ROWS($P$3:P7), 3), """")"),"")</f>
        <v/>
      </c>
      <c r="S7" s="9" t="str">
        <f>IFERROR(__xludf.DUMMYFUNCTION("IFERROR(INDEX(SORT(FILTER({$F$18:$F$984,$H$18:$H$984,$I$18:$I$984,$K$18:$K$984}, (($H$18:$H$984=""Eating out"")+($H$18:$H$984=""Groceries""))*($I$18:$I$984&gt;0)), 3, FALSE), ROWS($P$3:P7), 4), """")"),"")</f>
        <v/>
      </c>
      <c r="U7" s="9" t="str">
        <f>IFERROR(__xludf.DUMMYFUNCTION("IFERROR(INDEX(SORT(FILTER({$F$18:$F$984,$H$18:$H$984,$I$18:$I$984,$K$18:$K$984}, ($H$18:$H$984=""Coffee/ drinks"")*($I$18:$I$984&gt;0)), 3, FALSE), ROWS($U$3:U7), 1), """")"),"")</f>
        <v/>
      </c>
      <c r="V7" s="9" t="str">
        <f>IFERROR(__xludf.DUMMYFUNCTION("IFERROR(INDEX(SORT(FILTER({$F$18:$F$984,$H$18:$H$984,$I$18:$I$984,$K$18:$K$984}, ($H$18:$H$984=""Coffee/ drinks"")*($I$18:$I$984&gt;0)), 3, FALSE), ROWS($U$3:U7), 2), """")"),"")</f>
        <v/>
      </c>
      <c r="W7" s="10" t="str">
        <f>IFERROR(__xludf.DUMMYFUNCTION("IFERROR(INDEX(SORT(FILTER({$F$18:$F$984,$H$18:$H$984,$I$18:$I$984,$K$18:$K$984}, ($H$18:$H$984=""Coffee/ drinks"")*($I$18:$I$984&gt;0)), 3, FALSE), ROWS($U$3:U7), 3), """")"),"")</f>
        <v/>
      </c>
      <c r="X7" s="9" t="str">
        <f>IFERROR(__xludf.DUMMYFUNCTION("IFERROR(INDEX(SORT(FILTER({$F$18:$F$984,$H$18:$H$984,$I$18:$I$984,$K$18:$K$984}, ($H$18:$H$984=""Coffee/ drinks"")*($I$18:$I$984&gt;0)), 3, FALSE), ROWS($U$3:U7), 4), """")"),"")</f>
        <v/>
      </c>
    </row>
    <row r="8" ht="15.75" customHeight="1">
      <c r="A8" s="7" t="s">
        <v>16</v>
      </c>
      <c r="B8" s="2"/>
      <c r="C8" s="8">
        <v>45808.0</v>
      </c>
      <c r="F8" s="7" t="s">
        <v>16</v>
      </c>
      <c r="G8" s="2">
        <v>0.0</v>
      </c>
      <c r="H8" s="12"/>
      <c r="P8" s="9" t="str">
        <f>IFERROR(__xludf.DUMMYFUNCTION("IFERROR(INDEX(SORT(FILTER({$F$18:$F$984,$H$18:$H$984,$I$18:$I$984,$K$18:$K$984}, (($H$18:$H$984=""Eating out"")+($H$18:$H$984=""Groceries""))*($I$18:$I$984&gt;0)), 3, FALSE), ROWS($P$3:P8), 1), """")"),"")</f>
        <v/>
      </c>
      <c r="Q8" s="9" t="str">
        <f>IFERROR(__xludf.DUMMYFUNCTION("IFERROR(INDEX(SORT(FILTER({$F$18:$F$984,$H$18:$H$984,$I$18:$I$984,$K$18:$K$984}, (($H$18:$H$984=""Eating out"")+($H$18:$H$984=""Groceries""))*($I$18:$I$984&gt;0)), 3, FALSE), ROWS($P$3:P8), 2), """")"),"")</f>
        <v/>
      </c>
      <c r="R8" s="10" t="str">
        <f>IFERROR(__xludf.DUMMYFUNCTION("IFERROR(INDEX(SORT(FILTER({$F$18:$F$984,$H$18:$H$984,$I$18:$I$984,$K$18:$K$984}, (($H$18:$H$984=""Eating out"")+($H$18:$H$984=""Groceries""))*($I$18:$I$984&gt;0)), 3, FALSE), ROWS($P$3:P8), 3), """")"),"")</f>
        <v/>
      </c>
      <c r="S8" s="9" t="str">
        <f>IFERROR(__xludf.DUMMYFUNCTION("IFERROR(INDEX(SORT(FILTER({$F$18:$F$984,$H$18:$H$984,$I$18:$I$984,$K$18:$K$984}, (($H$18:$H$984=""Eating out"")+($H$18:$H$984=""Groceries""))*($I$18:$I$984&gt;0)), 3, FALSE), ROWS($P$3:P8), 4), """")"),"")</f>
        <v/>
      </c>
      <c r="U8" s="9" t="str">
        <f>IFERROR(__xludf.DUMMYFUNCTION("IFERROR(INDEX(SORT(FILTER({$F$18:$F$984,$H$18:$H$984,$I$18:$I$984,$K$18:$K$984}, ($H$18:$H$984=""Coffee/ drinks"")*($I$18:$I$984&gt;0)), 3, FALSE), ROWS($U$3:U8), 1), """")"),"")</f>
        <v/>
      </c>
      <c r="V8" s="9" t="str">
        <f>IFERROR(__xludf.DUMMYFUNCTION("IFERROR(INDEX(SORT(FILTER({$F$18:$F$984,$H$18:$H$984,$I$18:$I$984,$K$18:$K$984}, ($H$18:$H$984=""Coffee/ drinks"")*($I$18:$I$984&gt;0)), 3, FALSE), ROWS($U$3:U8), 2), """")"),"")</f>
        <v/>
      </c>
      <c r="W8" s="10" t="str">
        <f>IFERROR(__xludf.DUMMYFUNCTION("IFERROR(INDEX(SORT(FILTER({$F$18:$F$984,$H$18:$H$984,$I$18:$I$984,$K$18:$K$984}, ($H$18:$H$984=""Coffee/ drinks"")*($I$18:$I$984&gt;0)), 3, FALSE), ROWS($U$3:U8), 3), """")"),"")</f>
        <v/>
      </c>
      <c r="X8" s="9" t="str">
        <f>IFERROR(__xludf.DUMMYFUNCTION("IFERROR(INDEX(SORT(FILTER({$F$18:$F$984,$H$18:$H$984,$I$18:$I$984,$K$18:$K$984}, ($H$18:$H$984=""Coffee/ drinks"")*($I$18:$I$984&gt;0)), 3, FALSE), ROWS($U$3:U8), 4), """")"),"")</f>
        <v/>
      </c>
    </row>
    <row r="9" ht="15.75" customHeight="1">
      <c r="A9" s="7" t="s">
        <v>17</v>
      </c>
      <c r="B9" s="2"/>
      <c r="C9" s="8">
        <v>45808.0</v>
      </c>
      <c r="F9" s="7" t="s">
        <v>17</v>
      </c>
      <c r="G9" s="2">
        <v>0.0</v>
      </c>
      <c r="H9" s="12"/>
      <c r="P9" s="9" t="str">
        <f>IFERROR(__xludf.DUMMYFUNCTION("IFERROR(INDEX(SORT(FILTER({$F$18:$F$984,$H$18:$H$984,$I$18:$I$984,$K$18:$K$984}, (($H$18:$H$984=""Eating out"")+($H$18:$H$984=""Groceries""))*($I$18:$I$984&gt;0)), 3, FALSE), ROWS($P$3:P9), 1), """")"),"")</f>
        <v/>
      </c>
      <c r="Q9" s="9" t="str">
        <f>IFERROR(__xludf.DUMMYFUNCTION("IFERROR(INDEX(SORT(FILTER({$F$18:$F$984,$H$18:$H$984,$I$18:$I$984,$K$18:$K$984}, (($H$18:$H$984=""Eating out"")+($H$18:$H$984=""Groceries""))*($I$18:$I$984&gt;0)), 3, FALSE), ROWS($P$3:P9), 2), """")"),"")</f>
        <v/>
      </c>
      <c r="R9" s="10" t="str">
        <f>IFERROR(__xludf.DUMMYFUNCTION("IFERROR(INDEX(SORT(FILTER({$F$18:$F$984,$H$18:$H$984,$I$18:$I$984,$K$18:$K$984}, (($H$18:$H$984=""Eating out"")+($H$18:$H$984=""Groceries""))*($I$18:$I$984&gt;0)), 3, FALSE), ROWS($P$3:P9), 3), """")"),"")</f>
        <v/>
      </c>
      <c r="S9" s="9" t="str">
        <f>IFERROR(__xludf.DUMMYFUNCTION("IFERROR(INDEX(SORT(FILTER({$F$18:$F$984,$H$18:$H$984,$I$18:$I$984,$K$18:$K$984}, (($H$18:$H$984=""Eating out"")+($H$18:$H$984=""Groceries""))*($I$18:$I$984&gt;0)), 3, FALSE), ROWS($P$3:P9), 4), """")"),"")</f>
        <v/>
      </c>
      <c r="U9" s="9" t="str">
        <f>IFERROR(__xludf.DUMMYFUNCTION("IFERROR(INDEX(SORT(FILTER({$F$18:$F$984,$H$18:$H$984,$I$18:$I$984,$K$18:$K$984}, ($H$18:$H$984=""Coffee/ drinks"")*($I$18:$I$984&gt;0)), 3, FALSE), ROWS($U$3:U9), 1), """")"),"")</f>
        <v/>
      </c>
      <c r="V9" s="9" t="str">
        <f>IFERROR(__xludf.DUMMYFUNCTION("IFERROR(INDEX(SORT(FILTER({$F$18:$F$984,$H$18:$H$984,$I$18:$I$984,$K$18:$K$984}, ($H$18:$H$984=""Coffee/ drinks"")*($I$18:$I$984&gt;0)), 3, FALSE), ROWS($U$3:U9), 2), """")"),"")</f>
        <v/>
      </c>
      <c r="W9" s="10" t="str">
        <f>IFERROR(__xludf.DUMMYFUNCTION("IFERROR(INDEX(SORT(FILTER({$F$18:$F$984,$H$18:$H$984,$I$18:$I$984,$K$18:$K$984}, ($H$18:$H$984=""Coffee/ drinks"")*($I$18:$I$984&gt;0)), 3, FALSE), ROWS($U$3:U9), 3), """")"),"")</f>
        <v/>
      </c>
      <c r="X9" s="9" t="str">
        <f>IFERROR(__xludf.DUMMYFUNCTION("IFERROR(INDEX(SORT(FILTER({$F$18:$F$984,$H$18:$H$984,$I$18:$I$984,$K$18:$K$984}, ($H$18:$H$984=""Coffee/ drinks"")*($I$18:$I$984&gt;0)), 3, FALSE), ROWS($U$3:U9), 4), """")"),"")</f>
        <v/>
      </c>
    </row>
    <row r="10" ht="15.75" customHeight="1">
      <c r="A10" s="7" t="s">
        <v>18</v>
      </c>
      <c r="B10" s="2">
        <v>0.0</v>
      </c>
      <c r="C10" s="8">
        <v>45808.0</v>
      </c>
      <c r="F10" s="7" t="s">
        <v>18</v>
      </c>
      <c r="G10" s="2">
        <v>0.0</v>
      </c>
      <c r="H10" s="8"/>
      <c r="P10" s="9" t="str">
        <f>IFERROR(__xludf.DUMMYFUNCTION("IFERROR(INDEX(SORT(FILTER({$F$18:$F$984,$H$18:$H$984,$I$18:$I$984,$K$18:$K$984}, (($H$18:$H$984=""Eating out"")+($H$18:$H$984=""Groceries""))*($I$18:$I$984&gt;0)), 3, FALSE), ROWS($P$3:P10), 1), """")"),"")</f>
        <v/>
      </c>
      <c r="Q10" s="9" t="str">
        <f>IFERROR(__xludf.DUMMYFUNCTION("IFERROR(INDEX(SORT(FILTER({$F$18:$F$984,$H$18:$H$984,$I$18:$I$984,$K$18:$K$984}, (($H$18:$H$984=""Eating out"")+($H$18:$H$984=""Groceries""))*($I$18:$I$984&gt;0)), 3, FALSE), ROWS($P$3:P10), 2), """")"),"")</f>
        <v/>
      </c>
      <c r="R10" s="10" t="str">
        <f>IFERROR(__xludf.DUMMYFUNCTION("IFERROR(INDEX(SORT(FILTER({$F$18:$F$984,$H$18:$H$984,$I$18:$I$984,$K$18:$K$984}, (($H$18:$H$984=""Eating out"")+($H$18:$H$984=""Groceries""))*($I$18:$I$984&gt;0)), 3, FALSE), ROWS($P$3:P10), 3), """")"),"")</f>
        <v/>
      </c>
      <c r="S10" s="9" t="str">
        <f>IFERROR(__xludf.DUMMYFUNCTION("IFERROR(INDEX(SORT(FILTER({$F$18:$F$984,$H$18:$H$984,$I$18:$I$984,$K$18:$K$984}, (($H$18:$H$984=""Eating out"")+($H$18:$H$984=""Groceries""))*($I$18:$I$984&gt;0)), 3, FALSE), ROWS($P$3:P10), 4), """")"),"")</f>
        <v/>
      </c>
      <c r="U10" s="9" t="str">
        <f>IFERROR(__xludf.DUMMYFUNCTION("IFERROR(INDEX(SORT(FILTER({$F$18:$F$984,$H$18:$H$984,$I$18:$I$984,$K$18:$K$984}, ($H$18:$H$984=""Coffee/ drinks"")*($I$18:$I$984&gt;0)), 3, FALSE), ROWS($U$3:U10), 1), """")"),"")</f>
        <v/>
      </c>
      <c r="V10" s="9" t="str">
        <f>IFERROR(__xludf.DUMMYFUNCTION("IFERROR(INDEX(SORT(FILTER({$F$18:$F$984,$H$18:$H$984,$I$18:$I$984,$K$18:$K$984}, ($H$18:$H$984=""Coffee/ drinks"")*($I$18:$I$984&gt;0)), 3, FALSE), ROWS($U$3:U10), 2), """")"),"")</f>
        <v/>
      </c>
      <c r="W10" s="10" t="str">
        <f>IFERROR(__xludf.DUMMYFUNCTION("IFERROR(INDEX(SORT(FILTER({$F$18:$F$984,$H$18:$H$984,$I$18:$I$984,$K$18:$K$984}, ($H$18:$H$984=""Coffee/ drinks"")*($I$18:$I$984&gt;0)), 3, FALSE), ROWS($U$3:U10), 3), """")"),"")</f>
        <v/>
      </c>
      <c r="X10" s="9" t="str">
        <f>IFERROR(__xludf.DUMMYFUNCTION("IFERROR(INDEX(SORT(FILTER({$F$18:$F$984,$H$18:$H$984,$I$18:$I$984,$K$18:$K$984}, ($H$18:$H$984=""Coffee/ drinks"")*($I$18:$I$984&gt;0)), 3, FALSE), ROWS($U$3:U10), 4), """")"),"")</f>
        <v/>
      </c>
    </row>
    <row r="11" ht="15.75" customHeight="1">
      <c r="A11" s="7" t="s">
        <v>19</v>
      </c>
      <c r="B11" s="2">
        <v>0.0</v>
      </c>
      <c r="C11" s="8">
        <v>45808.0</v>
      </c>
      <c r="F11" s="7" t="s">
        <v>19</v>
      </c>
      <c r="G11" s="2">
        <v>0.0</v>
      </c>
      <c r="H11" s="8"/>
      <c r="P11" s="9" t="str">
        <f>IFERROR(__xludf.DUMMYFUNCTION("IFERROR(INDEX(SORT(FILTER({$F$18:$F$984,$H$18:$H$984,$I$18:$I$984,$K$18:$K$984}, (($H$18:$H$984=""Eating out"")+($H$18:$H$984=""Groceries""))*($I$18:$I$984&gt;0)), 3, FALSE), ROWS($P$3:P11), 1), """")"),"")</f>
        <v/>
      </c>
      <c r="Q11" s="9" t="str">
        <f>IFERROR(__xludf.DUMMYFUNCTION("IFERROR(INDEX(SORT(FILTER({$F$18:$F$984,$H$18:$H$984,$I$18:$I$984,$K$18:$K$984}, (($H$18:$H$984=""Eating out"")+($H$18:$H$984=""Groceries""))*($I$18:$I$984&gt;0)), 3, FALSE), ROWS($P$3:P11), 2), """")"),"")</f>
        <v/>
      </c>
      <c r="R11" s="10" t="str">
        <f>IFERROR(__xludf.DUMMYFUNCTION("IFERROR(INDEX(SORT(FILTER({$F$18:$F$984,$H$18:$H$984,$I$18:$I$984,$K$18:$K$984}, (($H$18:$H$984=""Eating out"")+($H$18:$H$984=""Groceries""))*($I$18:$I$984&gt;0)), 3, FALSE), ROWS($P$3:P11), 3), """")"),"")</f>
        <v/>
      </c>
      <c r="S11" s="9" t="str">
        <f>IFERROR(__xludf.DUMMYFUNCTION("IFERROR(INDEX(SORT(FILTER({$F$18:$F$984,$H$18:$H$984,$I$18:$I$984,$K$18:$K$984}, (($H$18:$H$984=""Eating out"")+($H$18:$H$984=""Groceries""))*($I$18:$I$984&gt;0)), 3, FALSE), ROWS($P$3:P11), 4), """")"),"")</f>
        <v/>
      </c>
      <c r="U11" s="9" t="str">
        <f>IFERROR(__xludf.DUMMYFUNCTION("IFERROR(INDEX(SORT(FILTER({$F$18:$F$984,$H$18:$H$984,$I$18:$I$984,$K$18:$K$984}, ($H$18:$H$984=""Coffee/ drinks"")*($I$18:$I$984&gt;0)), 3, FALSE), ROWS($U$3:U11), 1), """")"),"")</f>
        <v/>
      </c>
      <c r="V11" s="9" t="str">
        <f>IFERROR(__xludf.DUMMYFUNCTION("IFERROR(INDEX(SORT(FILTER({$F$18:$F$984,$H$18:$H$984,$I$18:$I$984,$K$18:$K$984}, ($H$18:$H$984=""Coffee/ drinks"")*($I$18:$I$984&gt;0)), 3, FALSE), ROWS($U$3:U11), 2), """")"),"")</f>
        <v/>
      </c>
      <c r="W11" s="10" t="str">
        <f>IFERROR(__xludf.DUMMYFUNCTION("IFERROR(INDEX(SORT(FILTER({$F$18:$F$984,$H$18:$H$984,$I$18:$I$984,$K$18:$K$984}, ($H$18:$H$984=""Coffee/ drinks"")*($I$18:$I$984&gt;0)), 3, FALSE), ROWS($U$3:U11), 3), """")"),"")</f>
        <v/>
      </c>
      <c r="X11" s="9" t="str">
        <f>IFERROR(__xludf.DUMMYFUNCTION("IFERROR(INDEX(SORT(FILTER({$F$18:$F$984,$H$18:$H$984,$I$18:$I$984,$K$18:$K$984}, ($H$18:$H$984=""Coffee/ drinks"")*($I$18:$I$984&gt;0)), 3, FALSE), ROWS($U$3:U11), 4), """")"),"")</f>
        <v/>
      </c>
    </row>
    <row r="12" ht="15.75" customHeight="1">
      <c r="H12" s="8"/>
      <c r="P12" s="9" t="str">
        <f>IFERROR(__xludf.DUMMYFUNCTION("IFERROR(INDEX(SORT(FILTER({$F$18:$F$984,$H$18:$H$984,$I$18:$I$984,$K$18:$K$984}, (($H$18:$H$984=""Eating out"")+($H$18:$H$984=""Groceries""))*($I$18:$I$984&gt;0)), 3, FALSE), ROWS($P$3:P12), 1), """")"),"")</f>
        <v/>
      </c>
      <c r="Q12" s="9" t="str">
        <f>IFERROR(__xludf.DUMMYFUNCTION("IFERROR(INDEX(SORT(FILTER({$F$18:$F$984,$H$18:$H$984,$I$18:$I$984,$K$18:$K$984}, (($H$18:$H$984=""Eating out"")+($H$18:$H$984=""Groceries""))*($I$18:$I$984&gt;0)), 3, FALSE), ROWS($P$3:P12), 2), """")"),"")</f>
        <v/>
      </c>
      <c r="R12" s="10" t="str">
        <f>IFERROR(__xludf.DUMMYFUNCTION("IFERROR(INDEX(SORT(FILTER({$F$18:$F$984,$H$18:$H$984,$I$18:$I$984,$K$18:$K$984}, (($H$18:$H$984=""Eating out"")+($H$18:$H$984=""Groceries""))*($I$18:$I$984&gt;0)), 3, FALSE), ROWS($P$3:P12), 3), """")"),"")</f>
        <v/>
      </c>
      <c r="S12" s="9" t="str">
        <f>IFERROR(__xludf.DUMMYFUNCTION("IFERROR(INDEX(SORT(FILTER({$F$18:$F$984,$H$18:$H$984,$I$18:$I$984,$K$18:$K$984}, (($H$18:$H$984=""Eating out"")+($H$18:$H$984=""Groceries""))*($I$18:$I$984&gt;0)), 3, FALSE), ROWS($P$3:P12), 4), """")"),"")</f>
        <v/>
      </c>
      <c r="U12" s="9" t="str">
        <f>IFERROR(__xludf.DUMMYFUNCTION("IFERROR(INDEX(SORT(FILTER({$F$18:$F$984,$H$18:$H$984,$I$18:$I$984,$K$18:$K$984}, ($H$18:$H$984=""Coffee/ drinks"")*($I$18:$I$984&gt;0)), 3, FALSE), ROWS($U$3:U12), 1), """")"),"")</f>
        <v/>
      </c>
      <c r="V12" s="9" t="str">
        <f>IFERROR(__xludf.DUMMYFUNCTION("IFERROR(INDEX(SORT(FILTER({$F$18:$F$984,$H$18:$H$984,$I$18:$I$984,$K$18:$K$984}, ($H$18:$H$984=""Coffee/ drinks"")*($I$18:$I$984&gt;0)), 3, FALSE), ROWS($U$3:U12), 2), """")"),"")</f>
        <v/>
      </c>
      <c r="W12" s="10" t="str">
        <f>IFERROR(__xludf.DUMMYFUNCTION("IFERROR(INDEX(SORT(FILTER({$F$18:$F$984,$H$18:$H$984,$I$18:$I$984,$K$18:$K$984}, ($H$18:$H$984=""Coffee/ drinks"")*($I$18:$I$984&gt;0)), 3, FALSE), ROWS($U$3:U12), 3), """")"),"")</f>
        <v/>
      </c>
      <c r="X12" s="9" t="str">
        <f>IFERROR(__xludf.DUMMYFUNCTION("IFERROR(INDEX(SORT(FILTER({$F$18:$F$984,$H$18:$H$984,$I$18:$I$984,$K$18:$K$984}, ($H$18:$H$984=""Coffee/ drinks"")*($I$18:$I$984&gt;0)), 3, FALSE), ROWS($U$3:U12), 4), """")"),"")</f>
        <v/>
      </c>
    </row>
    <row r="13" ht="15.75" customHeight="1">
      <c r="A13" s="13" t="s">
        <v>20</v>
      </c>
      <c r="B13" s="14">
        <f>SUM(B3:B11)</f>
        <v>7392.92</v>
      </c>
      <c r="F13" s="13" t="s">
        <v>20</v>
      </c>
      <c r="G13" s="14">
        <f>SUM(G3:G11)</f>
        <v>7392.92</v>
      </c>
    </row>
    <row r="14" ht="15.75" customHeight="1">
      <c r="A14" s="15" t="s">
        <v>21</v>
      </c>
      <c r="B14" s="2">
        <f>SUM(B3+B4) - SUM(B18:B26)</f>
        <v>1787.92</v>
      </c>
      <c r="G14" s="2"/>
    </row>
    <row r="15" ht="15.75" customHeight="1">
      <c r="A15" s="1" t="s">
        <v>22</v>
      </c>
      <c r="B15" s="2"/>
    </row>
    <row r="16" ht="21.75" customHeight="1">
      <c r="B16" s="2"/>
      <c r="F16" s="1" t="s">
        <v>23</v>
      </c>
      <c r="K16" s="15"/>
      <c r="P16" s="3" t="s">
        <v>24</v>
      </c>
    </row>
    <row r="17" ht="15.75" customHeight="1">
      <c r="A17" s="4" t="s">
        <v>25</v>
      </c>
      <c r="B17" s="5" t="s">
        <v>26</v>
      </c>
      <c r="C17" s="4" t="s">
        <v>27</v>
      </c>
      <c r="F17" s="4" t="s">
        <v>28</v>
      </c>
      <c r="G17" s="4" t="s">
        <v>8</v>
      </c>
      <c r="H17" s="4" t="s">
        <v>9</v>
      </c>
      <c r="I17" s="4" t="s">
        <v>29</v>
      </c>
      <c r="J17" s="4" t="s">
        <v>6</v>
      </c>
      <c r="K17" s="17" t="s">
        <v>10</v>
      </c>
      <c r="L17" s="4" t="s">
        <v>30</v>
      </c>
      <c r="M17" s="4" t="s">
        <v>31</v>
      </c>
      <c r="N17" s="4" t="s">
        <v>32</v>
      </c>
      <c r="P17" s="6" t="s">
        <v>8</v>
      </c>
      <c r="Q17" s="6" t="s">
        <v>9</v>
      </c>
      <c r="R17" s="6" t="s">
        <v>5</v>
      </c>
      <c r="S17" s="6" t="s">
        <v>10</v>
      </c>
    </row>
    <row r="18" ht="15.75" customHeight="1">
      <c r="A18" s="7" t="s">
        <v>37</v>
      </c>
      <c r="B18" s="2">
        <v>2000.0</v>
      </c>
      <c r="C18" s="2">
        <f t="shared" ref="C18:C26" si="1">SUMIF($H$18:$H$984,A18,$I$18:$I$984)</f>
        <v>1425</v>
      </c>
      <c r="F18" s="7" t="s">
        <v>38</v>
      </c>
      <c r="G18" s="7"/>
      <c r="H18" s="7" t="s">
        <v>37</v>
      </c>
      <c r="I18" s="24">
        <v>1425.0</v>
      </c>
      <c r="J18" s="12"/>
      <c r="K18" s="7" t="s">
        <v>39</v>
      </c>
      <c r="L18" s="21"/>
      <c r="M18" s="22">
        <f t="shared" ref="M18:M182" si="2">L18*I18</f>
        <v>0</v>
      </c>
      <c r="N18" s="2">
        <f t="shared" ref="N18:N182" si="3">M18*0.01</f>
        <v>0</v>
      </c>
      <c r="O18" s="22"/>
      <c r="P18" s="9" t="str">
        <f>IFERROR(__xludf.DUMMYFUNCTION("ARRAY_CONSTRAIN(ARRAYFORMULA(IFERROR(INDEX(SORT(FILTER({$F$18:$F$984,$H$18:$H$984,$I$18:$I$984,$K$18:$K$984}, ($I$18:$I$984&gt;0)*($H$18:$H$984&lt;&gt;""Rent"")*($H$18:$H$984&lt;&gt;""Savings"")*($H$18:$H$984&lt;&gt;""Emergency Savings"")*($H$18:$H$984&lt;&gt;""Roth IRA"")*($H$18:$"&amp;"H$984&lt;&gt;""Seperate Account"")*($H$18:$H$984&lt;&gt;""work"")*($H$18:$H$984&lt;&gt;""Work"")*($H$18:$H$984&lt;&gt;""Rebates"")*($H$18:$H$984&lt;&gt;""Rebate"")), 3, FALSE), ROWS($P$18:P18), 1), """")), 10, 1)"),"VERISON BUY OUT")</f>
        <v>VERISON BUY OUT</v>
      </c>
      <c r="Q18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ROWS($P$18:P18), 2), """")"),"misc")</f>
        <v>misc</v>
      </c>
      <c r="R18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ROWS($P$18:P18), 3), """")"),360.0)</f>
        <v>360</v>
      </c>
      <c r="S18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ROWS($P$18:P18), 4), """")"),"")</f>
        <v/>
      </c>
    </row>
    <row r="19" ht="15.75" customHeight="1">
      <c r="A19" s="7" t="s">
        <v>40</v>
      </c>
      <c r="B19" s="2">
        <v>400.0</v>
      </c>
      <c r="C19" s="2">
        <f t="shared" si="1"/>
        <v>400</v>
      </c>
      <c r="F19" s="7" t="s">
        <v>41</v>
      </c>
      <c r="G19" s="7"/>
      <c r="H19" s="7" t="s">
        <v>40</v>
      </c>
      <c r="I19" s="2">
        <v>400.0</v>
      </c>
      <c r="J19" s="12"/>
      <c r="K19" s="7" t="s">
        <v>39</v>
      </c>
      <c r="L19" s="7"/>
      <c r="M19" s="22">
        <f t="shared" si="2"/>
        <v>0</v>
      </c>
      <c r="N19" s="2">
        <f t="shared" si="3"/>
        <v>0</v>
      </c>
      <c r="O19" s="22"/>
      <c r="P19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ROWS($P$18:P19), 1), """")"),"vital")</f>
        <v>vital</v>
      </c>
      <c r="Q19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ROWS($P$18:P19), 2), """")"),"Gym Membership")</f>
        <v>Gym Membership</v>
      </c>
      <c r="R19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ROWS($P$18:P19), 3), """")"),200.0)</f>
        <v>200</v>
      </c>
      <c r="S19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ROWS($P$18:P19), 4), """")"),"NONE")</f>
        <v>NONE</v>
      </c>
    </row>
    <row r="20" ht="15.75" customHeight="1">
      <c r="A20" s="7" t="s">
        <v>42</v>
      </c>
      <c r="B20" s="2">
        <v>135.0</v>
      </c>
      <c r="C20" s="2">
        <f t="shared" si="1"/>
        <v>135</v>
      </c>
      <c r="F20" s="7" t="s">
        <v>43</v>
      </c>
      <c r="G20" s="7"/>
      <c r="H20" s="7" t="s">
        <v>44</v>
      </c>
      <c r="I20" s="2">
        <v>200.0</v>
      </c>
      <c r="J20" s="12"/>
      <c r="K20" s="7" t="s">
        <v>39</v>
      </c>
      <c r="L20" s="7"/>
      <c r="M20" s="22">
        <f t="shared" si="2"/>
        <v>0</v>
      </c>
      <c r="N20" s="2">
        <f t="shared" si="3"/>
        <v>0</v>
      </c>
      <c r="O20" s="22"/>
      <c r="P20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ROWS($P$18:P20), 1), """")"),"diamond heart")</f>
        <v>diamond heart</v>
      </c>
      <c r="Q20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ROWS($P$18:P20), 2), """")"),"Gym Membership")</f>
        <v>Gym Membership</v>
      </c>
      <c r="R20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ROWS($P$18:P20), 3), """")"),200.0)</f>
        <v>200</v>
      </c>
      <c r="S20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ROWS($P$18:P20), 4), """")"),"NONE")</f>
        <v>NONE</v>
      </c>
    </row>
    <row r="21" ht="15.75" customHeight="1">
      <c r="A21" s="7" t="s">
        <v>45</v>
      </c>
      <c r="B21" s="24">
        <v>20.0</v>
      </c>
      <c r="C21" s="2">
        <f t="shared" si="1"/>
        <v>20</v>
      </c>
      <c r="F21" s="7" t="s">
        <v>46</v>
      </c>
      <c r="G21" s="7"/>
      <c r="H21" s="7" t="s">
        <v>44</v>
      </c>
      <c r="I21" s="2">
        <v>200.0</v>
      </c>
      <c r="J21" s="12"/>
      <c r="K21" s="7" t="s">
        <v>39</v>
      </c>
      <c r="L21" s="7"/>
      <c r="M21" s="22">
        <f t="shared" si="2"/>
        <v>0</v>
      </c>
      <c r="N21" s="2">
        <f t="shared" si="3"/>
        <v>0</v>
      </c>
      <c r="O21" s="22"/>
      <c r="P21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ROWS($P$18:P21), 1), """")"),"Investing")</f>
        <v>Investing</v>
      </c>
      <c r="Q21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ROWS($P$18:P21), 2), """")"),"Investing")</f>
        <v>Investing</v>
      </c>
      <c r="R21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ROWS($P$18:P21), 3), """")"),200.0)</f>
        <v>200</v>
      </c>
      <c r="S21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ROWS($P$18:P21), 4), """")"),"")</f>
        <v/>
      </c>
    </row>
    <row r="22" ht="15.75" customHeight="1">
      <c r="A22" s="7" t="s">
        <v>44</v>
      </c>
      <c r="B22" s="2">
        <v>400.0</v>
      </c>
      <c r="C22" s="2">
        <f t="shared" si="1"/>
        <v>400</v>
      </c>
      <c r="F22" s="7" t="s">
        <v>47</v>
      </c>
      <c r="G22" s="7"/>
      <c r="H22" s="7" t="s">
        <v>45</v>
      </c>
      <c r="I22" s="24">
        <v>20.0</v>
      </c>
      <c r="J22" s="12"/>
      <c r="K22" s="7" t="s">
        <v>39</v>
      </c>
      <c r="L22" s="7"/>
      <c r="M22" s="22">
        <f t="shared" si="2"/>
        <v>0</v>
      </c>
      <c r="N22" s="2">
        <f t="shared" si="3"/>
        <v>0</v>
      </c>
      <c r="O22" s="22"/>
      <c r="P22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ROWS($P$18:P22), 1), """")"),"Flight Home")</f>
        <v>Flight Home</v>
      </c>
      <c r="Q22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ROWS($P$18:P22), 2), """")"),"Travel Fund")</f>
        <v>Travel Fund</v>
      </c>
      <c r="R22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ROWS($P$18:P22), 3), """")"),160.0)</f>
        <v>160</v>
      </c>
      <c r="S22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ROWS($P$18:P22), 4), """")"),"Reserve - Chase")</f>
        <v>Reserve - Chase</v>
      </c>
    </row>
    <row r="23" ht="15.75" customHeight="1">
      <c r="A23" s="7" t="s">
        <v>48</v>
      </c>
      <c r="B23" s="2">
        <v>0.0</v>
      </c>
      <c r="C23" s="2">
        <f t="shared" si="1"/>
        <v>0</v>
      </c>
      <c r="F23" s="7" t="s">
        <v>49</v>
      </c>
      <c r="G23" s="7"/>
      <c r="H23" s="7" t="s">
        <v>42</v>
      </c>
      <c r="I23" s="2">
        <v>120.0</v>
      </c>
      <c r="J23" s="12"/>
      <c r="K23" s="7" t="s">
        <v>39</v>
      </c>
      <c r="L23" s="7"/>
      <c r="M23" s="22">
        <f t="shared" si="2"/>
        <v>0</v>
      </c>
      <c r="N23" s="2">
        <f t="shared" si="3"/>
        <v>0</v>
      </c>
      <c r="O23" s="22"/>
      <c r="P23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ROWS($P$18:P23), 1), """")"),"Matt Payment for hotel wedding")</f>
        <v>Matt Payment for hotel wedding</v>
      </c>
      <c r="Q23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ROWS($P$18:P23), 2), """")"),"Travel Fund")</f>
        <v>Travel Fund</v>
      </c>
      <c r="R23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ROWS($P$18:P23), 3), """")"),160.0)</f>
        <v>160</v>
      </c>
      <c r="S23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ROWS($P$18:P23), 4), """")"),"")</f>
        <v/>
      </c>
    </row>
    <row r="24" ht="15.75" customHeight="1">
      <c r="A24" s="7" t="s">
        <v>50</v>
      </c>
      <c r="B24" s="2">
        <v>150.0</v>
      </c>
      <c r="C24" s="2">
        <f t="shared" si="1"/>
        <v>150</v>
      </c>
      <c r="F24" s="7" t="s">
        <v>51</v>
      </c>
      <c r="G24" s="7"/>
      <c r="H24" s="7" t="s">
        <v>42</v>
      </c>
      <c r="I24" s="2">
        <v>15.0</v>
      </c>
      <c r="J24" s="12"/>
      <c r="K24" s="7" t="s">
        <v>39</v>
      </c>
      <c r="L24" s="7"/>
      <c r="M24" s="22">
        <f t="shared" si="2"/>
        <v>0</v>
      </c>
      <c r="N24" s="2">
        <f t="shared" si="3"/>
        <v>0</v>
      </c>
      <c r="O24" s="22"/>
      <c r="P24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ROWS($P$18:P24), 1), """")"),"mta")</f>
        <v>mta</v>
      </c>
      <c r="Q24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ROWS($P$18:P24), 2), """")"),"MTA")</f>
        <v>MTA</v>
      </c>
      <c r="R24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ROWS($P$18:P24), 3), """")"),150.0)</f>
        <v>150</v>
      </c>
      <c r="S24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ROWS($P$18:P24), 4), """")"),"Reserve - Chase")</f>
        <v>Reserve - Chase</v>
      </c>
    </row>
    <row r="25" ht="15.75" customHeight="1">
      <c r="A25" s="7" t="s">
        <v>52</v>
      </c>
      <c r="B25" s="2">
        <v>1500.0</v>
      </c>
      <c r="C25" s="2">
        <f t="shared" si="1"/>
        <v>1500</v>
      </c>
      <c r="F25" s="7" t="s">
        <v>53</v>
      </c>
      <c r="G25" s="7"/>
      <c r="H25" s="7" t="s">
        <v>50</v>
      </c>
      <c r="I25" s="2">
        <v>150.0</v>
      </c>
      <c r="J25" s="12"/>
      <c r="K25" s="7" t="s">
        <v>54</v>
      </c>
      <c r="L25" s="7"/>
      <c r="M25" s="22">
        <f t="shared" si="2"/>
        <v>0</v>
      </c>
      <c r="N25" s="2">
        <f t="shared" si="3"/>
        <v>0</v>
      </c>
      <c r="O25" s="22"/>
      <c r="P25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ROWS($P$18:P25), 1), """")"),"therapy")</f>
        <v>therapy</v>
      </c>
      <c r="Q25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ROWS($P$18:P25), 2), """")"),"Subscriptions")</f>
        <v>Subscriptions</v>
      </c>
      <c r="R25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ROWS($P$18:P25), 3), """")"),120.0)</f>
        <v>120</v>
      </c>
      <c r="S25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ROWS($P$18:P25), 4), """")"),"NONE")</f>
        <v>NONE</v>
      </c>
    </row>
    <row r="26" ht="15.75" customHeight="1">
      <c r="A26" s="7" t="s">
        <v>55</v>
      </c>
      <c r="B26" s="2">
        <v>1000.0</v>
      </c>
      <c r="C26" s="2">
        <f t="shared" si="1"/>
        <v>1000</v>
      </c>
      <c r="F26" s="7" t="s">
        <v>56</v>
      </c>
      <c r="G26" s="7"/>
      <c r="H26" s="7" t="s">
        <v>57</v>
      </c>
      <c r="I26" s="2">
        <v>300.0</v>
      </c>
      <c r="J26" s="12"/>
      <c r="K26" s="7" t="s">
        <v>39</v>
      </c>
      <c r="L26" s="7"/>
      <c r="M26" s="22">
        <f t="shared" si="2"/>
        <v>0</v>
      </c>
      <c r="N26" s="2">
        <f t="shared" si="3"/>
        <v>0</v>
      </c>
      <c r="O26" s="22"/>
      <c r="P26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ROWS($P$18:P26), 1), """")"),"phone bill")</f>
        <v>phone bill</v>
      </c>
      <c r="Q26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ROWS($P$18:P26), 2), """")"),"Phone Bill")</f>
        <v>Phone Bill</v>
      </c>
      <c r="R26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ROWS($P$18:P26), 3), """")"),20.0)</f>
        <v>20</v>
      </c>
      <c r="S26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ROWS($P$18:P26), 4), """")"),"NONE")</f>
        <v>NONE</v>
      </c>
    </row>
    <row r="27" ht="15.75" customHeight="1">
      <c r="F27" s="7" t="s">
        <v>58</v>
      </c>
      <c r="G27" s="7"/>
      <c r="H27" s="7" t="s">
        <v>52</v>
      </c>
      <c r="I27" s="2">
        <v>1500.0</v>
      </c>
      <c r="J27" s="12"/>
      <c r="K27" s="7" t="s">
        <v>39</v>
      </c>
      <c r="L27" s="7"/>
      <c r="M27" s="22">
        <f t="shared" si="2"/>
        <v>0</v>
      </c>
      <c r="N27" s="2">
        <f t="shared" si="3"/>
        <v>0</v>
      </c>
      <c r="O27" s="22"/>
      <c r="P27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ROWS($P$18:P27), 1), """")"),"prime")</f>
        <v>prime</v>
      </c>
      <c r="Q27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ROWS($P$18:P27), 2), """")"),"Subscriptions")</f>
        <v>Subscriptions</v>
      </c>
      <c r="R27" s="10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ROWS($P$18:P27), 3), """")"),15.0)</f>
        <v>15</v>
      </c>
      <c r="S27" s="9" t="str">
        <f>IFERROR(__xludf.DUMMYFUNCTION("IFERROR(INDEX(SORT(FILTER({$F$18:$F$984,$H$18:$H$984,$I$18:$I$984,$K$18:$K$984}, ($I$18:$I$984&gt;0)*($H$18:$H$984&lt;&gt;""Rent"")*($H$18:$H$984&lt;&gt;""Savings"")*($H$18:$H$984&lt;&gt;""Emergency Savings"")*($H$18:$H$984&lt;&gt;""Roth IRA"")*($H$18:$H$984&lt;&gt;""Seperate Account"")*"&amp;"($H$18:$H$984&lt;&gt;""work"")*($H$18:$H$984&lt;&gt;""Work"")*($H$18:$H$984&lt;&gt;""Rebates"")*($H$18:$H$984&lt;&gt;""Rebate"")), 3, FALSE), ROWS($P$18:P27), 4), """")"),"NONE")</f>
        <v>NONE</v>
      </c>
    </row>
    <row r="28" ht="15.75" customHeight="1">
      <c r="A28" s="4" t="s">
        <v>59</v>
      </c>
      <c r="B28" s="5" t="s">
        <v>26</v>
      </c>
      <c r="C28" s="4" t="s">
        <v>27</v>
      </c>
      <c r="F28" s="7" t="s">
        <v>60</v>
      </c>
      <c r="G28" s="7"/>
      <c r="H28" s="7" t="s">
        <v>55</v>
      </c>
      <c r="I28" s="2">
        <v>1000.0</v>
      </c>
      <c r="J28" s="12"/>
      <c r="K28" s="7" t="s">
        <v>39</v>
      </c>
      <c r="L28" s="7"/>
      <c r="M28" s="22">
        <f t="shared" si="2"/>
        <v>0</v>
      </c>
      <c r="N28" s="2">
        <f t="shared" si="3"/>
        <v>0</v>
      </c>
      <c r="O28" s="22"/>
    </row>
    <row r="29" ht="15.75" customHeight="1">
      <c r="A29" s="7" t="s">
        <v>61</v>
      </c>
      <c r="B29" s="2">
        <v>400.0</v>
      </c>
      <c r="C29" s="2">
        <f t="shared" ref="C29:C37" si="4">SUMIF($H$18:$H$984,A29,$I$18:$I$984)</f>
        <v>0</v>
      </c>
      <c r="F29" s="23" t="s">
        <v>63</v>
      </c>
      <c r="G29" s="7" t="s">
        <v>67</v>
      </c>
      <c r="H29" s="23" t="s">
        <v>63</v>
      </c>
      <c r="I29" s="24">
        <v>200.0</v>
      </c>
      <c r="J29" s="12"/>
      <c r="K29" s="7"/>
      <c r="L29" s="7"/>
      <c r="M29" s="22">
        <f t="shared" si="2"/>
        <v>0</v>
      </c>
      <c r="N29" s="2">
        <f t="shared" si="3"/>
        <v>0</v>
      </c>
      <c r="O29" s="22"/>
      <c r="P29" s="25" t="s">
        <v>64</v>
      </c>
    </row>
    <row r="30" ht="15.75" customHeight="1">
      <c r="A30" s="7" t="s">
        <v>65</v>
      </c>
      <c r="B30" s="2">
        <v>150.0</v>
      </c>
      <c r="C30" s="2">
        <f t="shared" si="4"/>
        <v>0</v>
      </c>
      <c r="F30" s="7" t="s">
        <v>66</v>
      </c>
      <c r="G30" s="7" t="s">
        <v>67</v>
      </c>
      <c r="H30" s="7"/>
      <c r="I30" s="2"/>
      <c r="J30" s="12"/>
      <c r="K30" s="7"/>
      <c r="L30" s="7"/>
      <c r="M30" s="22">
        <f t="shared" si="2"/>
        <v>0</v>
      </c>
      <c r="N30" s="2">
        <f t="shared" si="3"/>
        <v>0</v>
      </c>
      <c r="O30" s="22"/>
    </row>
    <row r="31" ht="15.75" customHeight="1">
      <c r="A31" s="7" t="s">
        <v>68</v>
      </c>
      <c r="B31" s="2">
        <v>40.0</v>
      </c>
      <c r="C31" s="2">
        <f t="shared" si="4"/>
        <v>0</v>
      </c>
      <c r="F31" s="47" t="s">
        <v>167</v>
      </c>
      <c r="G31" s="7"/>
      <c r="H31" s="23" t="s">
        <v>76</v>
      </c>
      <c r="I31" s="54">
        <v>160.0</v>
      </c>
      <c r="J31" s="12"/>
      <c r="K31" s="23" t="s">
        <v>54</v>
      </c>
      <c r="L31" s="23">
        <v>5.0</v>
      </c>
      <c r="M31" s="22">
        <f t="shared" si="2"/>
        <v>800</v>
      </c>
      <c r="N31" s="2">
        <f t="shared" si="3"/>
        <v>8</v>
      </c>
      <c r="O31" s="22"/>
    </row>
    <row r="32" ht="15.75" customHeight="1">
      <c r="A32" s="7" t="s">
        <v>72</v>
      </c>
      <c r="B32" s="2">
        <v>150.0</v>
      </c>
      <c r="C32" s="2">
        <f t="shared" si="4"/>
        <v>0</v>
      </c>
      <c r="F32" s="47" t="s">
        <v>168</v>
      </c>
      <c r="G32" s="7"/>
      <c r="H32" s="23" t="s">
        <v>76</v>
      </c>
      <c r="I32" s="54">
        <v>160.0</v>
      </c>
      <c r="J32" s="12"/>
      <c r="K32" s="7"/>
      <c r="L32" s="7"/>
      <c r="M32" s="22">
        <f t="shared" si="2"/>
        <v>0</v>
      </c>
      <c r="N32" s="2">
        <f t="shared" si="3"/>
        <v>0</v>
      </c>
      <c r="O32" s="22"/>
    </row>
    <row r="33" ht="15.75" customHeight="1">
      <c r="A33" s="7" t="s">
        <v>75</v>
      </c>
      <c r="B33" s="2">
        <v>125.0</v>
      </c>
      <c r="C33" s="2">
        <f t="shared" si="4"/>
        <v>0</v>
      </c>
      <c r="F33" s="55" t="s">
        <v>169</v>
      </c>
      <c r="G33" s="56"/>
      <c r="H33" s="57" t="s">
        <v>74</v>
      </c>
      <c r="I33" s="58">
        <v>360.0</v>
      </c>
      <c r="J33" s="12"/>
      <c r="K33" s="7"/>
      <c r="L33" s="7"/>
      <c r="M33" s="22">
        <f t="shared" si="2"/>
        <v>0</v>
      </c>
      <c r="N33" s="2">
        <f t="shared" si="3"/>
        <v>0</v>
      </c>
      <c r="O33" s="22"/>
    </row>
    <row r="34" ht="15.75" customHeight="1">
      <c r="A34" s="7" t="s">
        <v>76</v>
      </c>
      <c r="B34" s="2">
        <v>250.0</v>
      </c>
      <c r="C34" s="2">
        <f t="shared" si="4"/>
        <v>320</v>
      </c>
      <c r="F34" s="26"/>
      <c r="G34" s="7"/>
      <c r="H34" s="7"/>
      <c r="I34" s="27"/>
      <c r="J34" s="12"/>
      <c r="K34" s="7"/>
      <c r="L34" s="7"/>
      <c r="M34" s="22">
        <f t="shared" si="2"/>
        <v>0</v>
      </c>
      <c r="N34" s="2">
        <f t="shared" si="3"/>
        <v>0</v>
      </c>
      <c r="O34" s="22"/>
    </row>
    <row r="35" ht="15.75" customHeight="1">
      <c r="A35" s="7" t="s">
        <v>57</v>
      </c>
      <c r="B35" s="2">
        <v>300.0</v>
      </c>
      <c r="C35" s="2">
        <f t="shared" si="4"/>
        <v>300</v>
      </c>
      <c r="F35" s="26"/>
      <c r="G35" s="7"/>
      <c r="H35" s="7"/>
      <c r="I35" s="27"/>
      <c r="J35" s="12"/>
      <c r="K35" s="7"/>
      <c r="L35" s="7"/>
      <c r="M35" s="22">
        <f t="shared" si="2"/>
        <v>0</v>
      </c>
      <c r="N35" s="2">
        <f t="shared" si="3"/>
        <v>0</v>
      </c>
      <c r="O35" s="22"/>
    </row>
    <row r="36" ht="15.75" customHeight="1">
      <c r="A36" s="7" t="s">
        <v>63</v>
      </c>
      <c r="B36" s="2">
        <v>200.0</v>
      </c>
      <c r="C36" s="2">
        <f t="shared" si="4"/>
        <v>200</v>
      </c>
      <c r="F36" s="26"/>
      <c r="G36" s="7"/>
      <c r="H36" s="7"/>
      <c r="I36" s="27"/>
      <c r="J36" s="12"/>
      <c r="K36" s="7"/>
      <c r="L36" s="7"/>
      <c r="M36" s="22">
        <f t="shared" si="2"/>
        <v>0</v>
      </c>
      <c r="N36" s="2">
        <f t="shared" si="3"/>
        <v>0</v>
      </c>
      <c r="O36" s="22"/>
    </row>
    <row r="37" ht="15.75" customHeight="1">
      <c r="A37" s="7" t="s">
        <v>74</v>
      </c>
      <c r="B37" s="2">
        <v>60.0</v>
      </c>
      <c r="C37" s="2">
        <f t="shared" si="4"/>
        <v>360</v>
      </c>
      <c r="F37" s="26"/>
      <c r="G37" s="7"/>
      <c r="H37" s="7"/>
      <c r="I37" s="27"/>
      <c r="J37" s="12"/>
      <c r="K37" s="7"/>
      <c r="L37" s="7"/>
      <c r="M37" s="22">
        <f t="shared" si="2"/>
        <v>0</v>
      </c>
      <c r="N37" s="2">
        <f t="shared" si="3"/>
        <v>0</v>
      </c>
      <c r="O37" s="22"/>
    </row>
    <row r="38" ht="15.75" customHeight="1">
      <c r="A38" s="7" t="s">
        <v>70</v>
      </c>
      <c r="B38" s="2"/>
      <c r="C38" s="2"/>
      <c r="F38" s="26"/>
      <c r="G38" s="7"/>
      <c r="H38" s="7"/>
      <c r="I38" s="27"/>
      <c r="J38" s="12"/>
      <c r="K38" s="7"/>
      <c r="L38" s="7"/>
      <c r="M38" s="22">
        <f t="shared" si="2"/>
        <v>0</v>
      </c>
      <c r="N38" s="2">
        <f t="shared" si="3"/>
        <v>0</v>
      </c>
      <c r="O38" s="22"/>
    </row>
    <row r="39" ht="15.75" customHeight="1">
      <c r="A39" s="7"/>
      <c r="B39" s="2"/>
      <c r="C39" s="2">
        <f t="shared" ref="C39:C42" si="5">SUMIF($H$18:$H$984,A39,$I$18:$I$984)</f>
        <v>0</v>
      </c>
      <c r="F39" s="26"/>
      <c r="G39" s="7"/>
      <c r="H39" s="7"/>
      <c r="I39" s="27"/>
      <c r="J39" s="12"/>
      <c r="K39" s="7"/>
      <c r="L39" s="7"/>
      <c r="M39" s="22">
        <f t="shared" si="2"/>
        <v>0</v>
      </c>
      <c r="N39" s="2">
        <f t="shared" si="3"/>
        <v>0</v>
      </c>
      <c r="O39" s="22"/>
    </row>
    <row r="40" ht="15.75" customHeight="1">
      <c r="A40" s="23" t="s">
        <v>170</v>
      </c>
      <c r="B40" s="24">
        <v>20.0</v>
      </c>
      <c r="C40" s="2">
        <f t="shared" si="5"/>
        <v>0</v>
      </c>
      <c r="F40" s="26"/>
      <c r="G40" s="7"/>
      <c r="H40" s="7"/>
      <c r="I40" s="27"/>
      <c r="J40" s="12"/>
      <c r="K40" s="7"/>
      <c r="L40" s="7"/>
      <c r="M40" s="22">
        <f t="shared" si="2"/>
        <v>0</v>
      </c>
      <c r="N40" s="2">
        <f t="shared" si="3"/>
        <v>0</v>
      </c>
      <c r="O40" s="22"/>
    </row>
    <row r="41" ht="15.75" customHeight="1">
      <c r="A41" s="7" t="s">
        <v>83</v>
      </c>
      <c r="B41" s="2">
        <v>0.0</v>
      </c>
      <c r="C41" s="2">
        <f t="shared" si="5"/>
        <v>0</v>
      </c>
      <c r="F41" s="26"/>
      <c r="G41" s="7"/>
      <c r="H41" s="7"/>
      <c r="I41" s="27"/>
      <c r="J41" s="12"/>
      <c r="K41" s="7"/>
      <c r="L41" s="7"/>
      <c r="M41" s="22">
        <f t="shared" si="2"/>
        <v>0</v>
      </c>
      <c r="N41" s="2">
        <f t="shared" si="3"/>
        <v>0</v>
      </c>
      <c r="O41" s="22"/>
    </row>
    <row r="42" ht="15.75" customHeight="1">
      <c r="A42" s="7" t="s">
        <v>84</v>
      </c>
      <c r="B42" s="2">
        <v>0.0</v>
      </c>
      <c r="C42" s="2">
        <f t="shared" si="5"/>
        <v>0</v>
      </c>
      <c r="D42" s="4"/>
      <c r="E42" s="4"/>
      <c r="F42" s="31"/>
      <c r="G42" s="7"/>
      <c r="H42" s="7"/>
      <c r="I42" s="32"/>
      <c r="J42" s="12"/>
      <c r="K42" s="7"/>
      <c r="L42" s="7"/>
      <c r="M42" s="22">
        <f t="shared" si="2"/>
        <v>0</v>
      </c>
      <c r="N42" s="2">
        <f t="shared" si="3"/>
        <v>0</v>
      </c>
      <c r="O42" s="22"/>
    </row>
    <row r="43" ht="15.75" customHeight="1">
      <c r="D43" s="4"/>
      <c r="E43" s="4"/>
      <c r="F43" s="31"/>
      <c r="G43" s="7"/>
      <c r="H43" s="7"/>
      <c r="I43" s="32"/>
      <c r="J43" s="12"/>
      <c r="K43" s="7"/>
      <c r="L43" s="7"/>
      <c r="M43" s="22">
        <f t="shared" si="2"/>
        <v>0</v>
      </c>
      <c r="N43" s="2">
        <f t="shared" si="3"/>
        <v>0</v>
      </c>
      <c r="O43" s="22"/>
    </row>
    <row r="44" ht="15.75" customHeight="1">
      <c r="A44" s="13" t="s">
        <v>20</v>
      </c>
      <c r="B44" s="14">
        <f>SUM(B18:B42)</f>
        <v>7300</v>
      </c>
      <c r="C44" s="14">
        <f>SUM(C18:C37) + SUM(C39:C42)</f>
        <v>6210</v>
      </c>
      <c r="F44" s="31"/>
      <c r="G44" s="7"/>
      <c r="H44" s="7"/>
      <c r="I44" s="33"/>
      <c r="J44" s="12"/>
      <c r="K44" s="7"/>
      <c r="L44" s="7"/>
      <c r="M44" s="22">
        <f t="shared" si="2"/>
        <v>0</v>
      </c>
      <c r="N44" s="2">
        <f t="shared" si="3"/>
        <v>0</v>
      </c>
      <c r="O44" s="22"/>
    </row>
    <row r="45" ht="15.75" customHeight="1">
      <c r="A45" s="34" t="s">
        <v>88</v>
      </c>
      <c r="B45" s="2">
        <f t="shared" ref="B45:C45" si="6">SUM(B29:B37) + SUM(B39:B42)</f>
        <v>1695</v>
      </c>
      <c r="C45" s="2">
        <f t="shared" si="6"/>
        <v>1180</v>
      </c>
      <c r="F45" s="31"/>
      <c r="G45" s="7"/>
      <c r="H45" s="7"/>
      <c r="I45" s="32"/>
      <c r="J45" s="12"/>
      <c r="K45" s="7"/>
      <c r="L45" s="7"/>
      <c r="M45" s="22">
        <f t="shared" si="2"/>
        <v>0</v>
      </c>
      <c r="N45" s="2">
        <f t="shared" si="3"/>
        <v>0</v>
      </c>
      <c r="O45" s="22"/>
    </row>
    <row r="46" ht="15.75" customHeight="1">
      <c r="A46" s="35" t="s">
        <v>90</v>
      </c>
      <c r="B46" s="36">
        <f>B13-B44</f>
        <v>92.92</v>
      </c>
      <c r="C46" s="36">
        <f>G13-C44</f>
        <v>1182.92</v>
      </c>
      <c r="D46" s="17"/>
      <c r="E46" s="17"/>
      <c r="F46" s="31"/>
      <c r="G46" s="7"/>
      <c r="H46" s="7"/>
      <c r="I46" s="32"/>
      <c r="J46" s="12"/>
      <c r="K46" s="7"/>
      <c r="L46" s="7"/>
      <c r="M46" s="22">
        <f t="shared" si="2"/>
        <v>0</v>
      </c>
      <c r="N46" s="2">
        <f t="shared" si="3"/>
        <v>0</v>
      </c>
      <c r="O46" s="22"/>
    </row>
    <row r="47" ht="15.75" customHeight="1">
      <c r="A47" s="37" t="s">
        <v>91</v>
      </c>
      <c r="B47" s="38">
        <f>B46/B13</f>
        <v>0.01256878202</v>
      </c>
      <c r="C47" s="38">
        <f>C46/G13</f>
        <v>0.160007142</v>
      </c>
      <c r="F47" s="31"/>
      <c r="G47" s="7"/>
      <c r="H47" s="7"/>
      <c r="I47" s="32"/>
      <c r="J47" s="12"/>
      <c r="K47" s="7"/>
      <c r="L47" s="7"/>
      <c r="M47" s="22">
        <f t="shared" si="2"/>
        <v>0</v>
      </c>
      <c r="N47" s="2">
        <f t="shared" si="3"/>
        <v>0</v>
      </c>
      <c r="O47" s="22"/>
    </row>
    <row r="48" ht="15.75" customHeight="1">
      <c r="A48" s="37" t="s">
        <v>63</v>
      </c>
      <c r="C48" s="2">
        <f>Sum(C19+C36)</f>
        <v>600</v>
      </c>
      <c r="F48" s="31"/>
      <c r="G48" s="7"/>
      <c r="H48" s="7"/>
      <c r="I48" s="32"/>
      <c r="J48" s="12"/>
      <c r="K48" s="7"/>
      <c r="L48" s="7"/>
      <c r="M48" s="22">
        <f t="shared" si="2"/>
        <v>0</v>
      </c>
      <c r="N48" s="2">
        <f t="shared" si="3"/>
        <v>0</v>
      </c>
      <c r="O48" s="22"/>
    </row>
    <row r="49" ht="15.75" customHeight="1">
      <c r="A49" s="37" t="s">
        <v>94</v>
      </c>
      <c r="B49" s="2"/>
      <c r="C49" s="2">
        <f>Sum(C25+C26+C35)</f>
        <v>2800</v>
      </c>
      <c r="F49" s="31"/>
      <c r="G49" s="7"/>
      <c r="H49" s="7"/>
      <c r="I49" s="32"/>
      <c r="J49" s="12"/>
      <c r="K49" s="7"/>
      <c r="L49" s="7"/>
      <c r="M49" s="22">
        <f t="shared" si="2"/>
        <v>0</v>
      </c>
      <c r="N49" s="2">
        <f t="shared" si="3"/>
        <v>0</v>
      </c>
      <c r="O49" s="22"/>
    </row>
    <row r="50" ht="15.75" customHeight="1">
      <c r="F50" s="39"/>
      <c r="G50" s="7"/>
      <c r="H50" s="7"/>
      <c r="I50" s="32"/>
      <c r="J50" s="12"/>
      <c r="K50" s="7"/>
      <c r="L50" s="7"/>
      <c r="M50" s="22">
        <f t="shared" si="2"/>
        <v>0</v>
      </c>
      <c r="N50" s="2">
        <f t="shared" si="3"/>
        <v>0</v>
      </c>
      <c r="O50" s="22"/>
    </row>
    <row r="51" ht="15.75" customHeight="1">
      <c r="A51" s="15" t="s">
        <v>97</v>
      </c>
      <c r="B51" s="40"/>
      <c r="C51" s="40">
        <f>sum(C46+C48+C49)</f>
        <v>4582.92</v>
      </c>
      <c r="F51" s="39"/>
      <c r="G51" s="7"/>
      <c r="H51" s="7"/>
      <c r="I51" s="32"/>
      <c r="J51" s="12"/>
      <c r="K51" s="7"/>
      <c r="L51" s="7"/>
      <c r="M51" s="22">
        <f t="shared" si="2"/>
        <v>0</v>
      </c>
      <c r="N51" s="2">
        <f t="shared" si="3"/>
        <v>0</v>
      </c>
      <c r="O51" s="22"/>
    </row>
    <row r="52" ht="15.75" customHeight="1">
      <c r="F52" s="31"/>
      <c r="G52" s="7"/>
      <c r="H52" s="7"/>
      <c r="I52" s="32"/>
      <c r="J52" s="12"/>
      <c r="K52" s="7"/>
      <c r="L52" s="7"/>
      <c r="M52" s="22">
        <f t="shared" si="2"/>
        <v>0</v>
      </c>
      <c r="N52" s="2">
        <f t="shared" si="3"/>
        <v>0</v>
      </c>
      <c r="O52" s="22"/>
    </row>
    <row r="53" ht="15.75" customHeight="1">
      <c r="A53" s="15" t="s">
        <v>100</v>
      </c>
      <c r="C53" s="22">
        <f> SUM(M18:M1000)</f>
        <v>800</v>
      </c>
      <c r="F53" s="31"/>
      <c r="G53" s="7"/>
      <c r="H53" s="7"/>
      <c r="I53" s="32"/>
      <c r="J53" s="12"/>
      <c r="K53" s="7"/>
      <c r="L53" s="7"/>
      <c r="M53" s="22">
        <f t="shared" si="2"/>
        <v>0</v>
      </c>
      <c r="N53" s="2">
        <f t="shared" si="3"/>
        <v>0</v>
      </c>
      <c r="O53" s="22"/>
    </row>
    <row r="54" ht="15.75" customHeight="1">
      <c r="A54" s="15" t="s">
        <v>102</v>
      </c>
      <c r="C54" s="2">
        <f> SUM(N18:N1000)</f>
        <v>8</v>
      </c>
      <c r="F54" s="31"/>
      <c r="G54" s="7"/>
      <c r="H54" s="7"/>
      <c r="I54" s="32"/>
      <c r="J54" s="12"/>
      <c r="K54" s="7"/>
      <c r="L54" s="7"/>
      <c r="M54" s="22">
        <f t="shared" si="2"/>
        <v>0</v>
      </c>
      <c r="N54" s="2">
        <f t="shared" si="3"/>
        <v>0</v>
      </c>
      <c r="O54" s="22"/>
    </row>
    <row r="55" ht="15.75" customHeight="1">
      <c r="F55" s="31"/>
      <c r="G55" s="7"/>
      <c r="H55" s="7"/>
      <c r="I55" s="33"/>
      <c r="J55" s="12"/>
      <c r="K55" s="7"/>
      <c r="L55" s="7"/>
      <c r="M55" s="22">
        <f t="shared" si="2"/>
        <v>0</v>
      </c>
      <c r="N55" s="2">
        <f t="shared" si="3"/>
        <v>0</v>
      </c>
      <c r="O55" s="22"/>
    </row>
    <row r="56" ht="15.75" customHeight="1">
      <c r="B56" s="2"/>
      <c r="F56" s="31"/>
      <c r="G56" s="7"/>
      <c r="H56" s="7"/>
      <c r="I56" s="33"/>
      <c r="J56" s="12"/>
      <c r="K56" s="7"/>
      <c r="L56" s="7"/>
      <c r="M56" s="22">
        <f t="shared" si="2"/>
        <v>0</v>
      </c>
      <c r="N56" s="2">
        <f t="shared" si="3"/>
        <v>0</v>
      </c>
      <c r="O56" s="22"/>
    </row>
    <row r="57" ht="15.75" customHeight="1">
      <c r="F57" s="31"/>
      <c r="G57" s="7"/>
      <c r="H57" s="7"/>
      <c r="I57" s="32"/>
      <c r="J57" s="12"/>
      <c r="K57" s="7"/>
      <c r="L57" s="7"/>
      <c r="M57" s="22">
        <f t="shared" si="2"/>
        <v>0</v>
      </c>
      <c r="N57" s="2">
        <f t="shared" si="3"/>
        <v>0</v>
      </c>
      <c r="O57" s="22"/>
    </row>
    <row r="58" ht="15.75" customHeight="1">
      <c r="F58" s="31"/>
      <c r="G58" s="7"/>
      <c r="H58" s="7"/>
      <c r="I58" s="32"/>
      <c r="J58" s="12"/>
      <c r="K58" s="7"/>
      <c r="L58" s="7"/>
      <c r="M58" s="22">
        <f t="shared" si="2"/>
        <v>0</v>
      </c>
      <c r="N58" s="2">
        <f t="shared" si="3"/>
        <v>0</v>
      </c>
      <c r="O58" s="22"/>
    </row>
    <row r="59" ht="15.75" customHeight="1">
      <c r="B59" s="2"/>
      <c r="F59" s="31"/>
      <c r="G59" s="7"/>
      <c r="H59" s="7"/>
      <c r="I59" s="32"/>
      <c r="J59" s="12"/>
      <c r="K59" s="7"/>
      <c r="L59" s="7"/>
      <c r="M59" s="22">
        <f t="shared" si="2"/>
        <v>0</v>
      </c>
      <c r="N59" s="2">
        <f t="shared" si="3"/>
        <v>0</v>
      </c>
      <c r="O59" s="22"/>
    </row>
    <row r="60" ht="15.75" customHeight="1">
      <c r="B60" s="2"/>
      <c r="F60" s="31"/>
      <c r="G60" s="7"/>
      <c r="H60" s="7"/>
      <c r="I60" s="33"/>
      <c r="J60" s="12"/>
      <c r="K60" s="7"/>
      <c r="L60" s="7"/>
      <c r="M60" s="22">
        <f t="shared" si="2"/>
        <v>0</v>
      </c>
      <c r="N60" s="2">
        <f t="shared" si="3"/>
        <v>0</v>
      </c>
      <c r="O60" s="22"/>
    </row>
    <row r="61" ht="15.75" customHeight="1">
      <c r="B61" s="2"/>
      <c r="F61" s="31"/>
      <c r="G61" s="7"/>
      <c r="H61" s="7"/>
      <c r="I61" s="32"/>
      <c r="J61" s="12"/>
      <c r="K61" s="7"/>
      <c r="L61" s="7"/>
      <c r="M61" s="22">
        <f t="shared" si="2"/>
        <v>0</v>
      </c>
      <c r="N61" s="2">
        <f t="shared" si="3"/>
        <v>0</v>
      </c>
      <c r="O61" s="22"/>
    </row>
    <row r="62" ht="15.75" customHeight="1">
      <c r="B62" s="2"/>
      <c r="F62" s="31"/>
      <c r="G62" s="7"/>
      <c r="H62" s="7"/>
      <c r="I62" s="32"/>
      <c r="J62" s="12"/>
      <c r="K62" s="7"/>
      <c r="L62" s="7"/>
      <c r="M62" s="22">
        <f t="shared" si="2"/>
        <v>0</v>
      </c>
      <c r="N62" s="2">
        <f t="shared" si="3"/>
        <v>0</v>
      </c>
      <c r="O62" s="22"/>
    </row>
    <row r="63" ht="15.75" customHeight="1">
      <c r="B63" s="2"/>
      <c r="F63" s="31"/>
      <c r="G63" s="7"/>
      <c r="H63" s="7"/>
      <c r="I63" s="32"/>
      <c r="J63" s="12"/>
      <c r="K63" s="7"/>
      <c r="L63" s="7"/>
      <c r="M63" s="22">
        <f t="shared" si="2"/>
        <v>0</v>
      </c>
      <c r="N63" s="2">
        <f t="shared" si="3"/>
        <v>0</v>
      </c>
      <c r="O63" s="22"/>
    </row>
    <row r="64" ht="15.75" customHeight="1">
      <c r="B64" s="2"/>
      <c r="F64" s="39"/>
      <c r="G64" s="7"/>
      <c r="H64" s="7"/>
      <c r="I64" s="32"/>
      <c r="J64" s="12"/>
      <c r="K64" s="7"/>
      <c r="L64" s="7"/>
      <c r="M64" s="22">
        <f t="shared" si="2"/>
        <v>0</v>
      </c>
      <c r="N64" s="2">
        <f t="shared" si="3"/>
        <v>0</v>
      </c>
      <c r="O64" s="22"/>
    </row>
    <row r="65" ht="15.75" customHeight="1">
      <c r="B65" s="2"/>
      <c r="F65" s="31"/>
      <c r="G65" s="7"/>
      <c r="H65" s="7"/>
      <c r="I65" s="32"/>
      <c r="J65" s="12"/>
      <c r="K65" s="7"/>
      <c r="L65" s="7"/>
      <c r="M65" s="22">
        <f t="shared" si="2"/>
        <v>0</v>
      </c>
      <c r="N65" s="2">
        <f t="shared" si="3"/>
        <v>0</v>
      </c>
      <c r="O65" s="22"/>
    </row>
    <row r="66" ht="15.75" customHeight="1">
      <c r="B66" s="2"/>
      <c r="F66" s="31"/>
      <c r="G66" s="7"/>
      <c r="H66" s="7"/>
      <c r="I66" s="32"/>
      <c r="J66" s="12"/>
      <c r="K66" s="7"/>
      <c r="L66" s="7"/>
      <c r="M66" s="22">
        <f t="shared" si="2"/>
        <v>0</v>
      </c>
      <c r="N66" s="2">
        <f t="shared" si="3"/>
        <v>0</v>
      </c>
      <c r="O66" s="22"/>
    </row>
    <row r="67" ht="15.75" customHeight="1">
      <c r="B67" s="2"/>
      <c r="F67" s="31"/>
      <c r="G67" s="7"/>
      <c r="H67" s="7"/>
      <c r="I67" s="32"/>
      <c r="J67" s="44"/>
      <c r="K67" s="7"/>
      <c r="L67" s="7"/>
      <c r="M67" s="22">
        <f t="shared" si="2"/>
        <v>0</v>
      </c>
      <c r="N67" s="2">
        <f t="shared" si="3"/>
        <v>0</v>
      </c>
      <c r="O67" s="22"/>
    </row>
    <row r="68" ht="15.75" customHeight="1">
      <c r="B68" s="2"/>
      <c r="F68" s="31"/>
      <c r="G68" s="7"/>
      <c r="H68" s="7"/>
      <c r="I68" s="32"/>
      <c r="J68" s="12"/>
      <c r="K68" s="7"/>
      <c r="L68" s="7"/>
      <c r="M68" s="22">
        <f t="shared" si="2"/>
        <v>0</v>
      </c>
      <c r="N68" s="2">
        <f t="shared" si="3"/>
        <v>0</v>
      </c>
      <c r="O68" s="22"/>
    </row>
    <row r="69" ht="15.75" customHeight="1">
      <c r="B69" s="2"/>
      <c r="F69" s="31"/>
      <c r="G69" s="7"/>
      <c r="H69" s="7"/>
      <c r="I69" s="32"/>
      <c r="J69" s="12"/>
      <c r="K69" s="7"/>
      <c r="L69" s="7"/>
      <c r="M69" s="22">
        <f t="shared" si="2"/>
        <v>0</v>
      </c>
      <c r="N69" s="2">
        <f t="shared" si="3"/>
        <v>0</v>
      </c>
      <c r="O69" s="22"/>
    </row>
    <row r="70" ht="15.75" customHeight="1">
      <c r="B70" s="2"/>
      <c r="F70" s="31"/>
      <c r="G70" s="7"/>
      <c r="H70" s="7"/>
      <c r="I70" s="32"/>
      <c r="J70" s="12"/>
      <c r="K70" s="7"/>
      <c r="L70" s="7"/>
      <c r="M70" s="22">
        <f t="shared" si="2"/>
        <v>0</v>
      </c>
      <c r="N70" s="2">
        <f t="shared" si="3"/>
        <v>0</v>
      </c>
      <c r="O70" s="22"/>
    </row>
    <row r="71" ht="15.75" customHeight="1">
      <c r="B71" s="2"/>
      <c r="F71" s="31"/>
      <c r="G71" s="7"/>
      <c r="H71" s="7"/>
      <c r="I71" s="32"/>
      <c r="J71" s="12"/>
      <c r="K71" s="7"/>
      <c r="L71" s="7"/>
      <c r="M71" s="22">
        <f t="shared" si="2"/>
        <v>0</v>
      </c>
      <c r="N71" s="2">
        <f t="shared" si="3"/>
        <v>0</v>
      </c>
      <c r="O71" s="22"/>
    </row>
    <row r="72" ht="15.75" customHeight="1">
      <c r="B72" s="2"/>
      <c r="F72" s="31"/>
      <c r="G72" s="7"/>
      <c r="H72" s="7"/>
      <c r="I72" s="32"/>
      <c r="J72" s="12"/>
      <c r="K72" s="7"/>
      <c r="L72" s="7"/>
      <c r="M72" s="22">
        <f t="shared" si="2"/>
        <v>0</v>
      </c>
      <c r="N72" s="2">
        <f t="shared" si="3"/>
        <v>0</v>
      </c>
      <c r="O72" s="22"/>
    </row>
    <row r="73" ht="15.75" customHeight="1">
      <c r="B73" s="2"/>
      <c r="F73" s="31"/>
      <c r="G73" s="7"/>
      <c r="H73" s="7"/>
      <c r="I73" s="32"/>
      <c r="J73" s="12"/>
      <c r="K73" s="7"/>
      <c r="L73" s="7"/>
      <c r="M73" s="22">
        <f t="shared" si="2"/>
        <v>0</v>
      </c>
      <c r="N73" s="2">
        <f t="shared" si="3"/>
        <v>0</v>
      </c>
      <c r="O73" s="22"/>
    </row>
    <row r="74" ht="15.75" customHeight="1">
      <c r="B74" s="2"/>
      <c r="F74" s="31"/>
      <c r="G74" s="7"/>
      <c r="H74" s="7"/>
      <c r="I74" s="32"/>
      <c r="J74" s="12"/>
      <c r="K74" s="7"/>
      <c r="L74" s="7"/>
      <c r="M74" s="22">
        <f t="shared" si="2"/>
        <v>0</v>
      </c>
      <c r="N74" s="2">
        <f t="shared" si="3"/>
        <v>0</v>
      </c>
      <c r="O74" s="22"/>
    </row>
    <row r="75" ht="15.75" customHeight="1">
      <c r="B75" s="2"/>
      <c r="F75" s="31"/>
      <c r="G75" s="7"/>
      <c r="H75" s="7"/>
      <c r="I75" s="32"/>
      <c r="J75" s="12"/>
      <c r="K75" s="7"/>
      <c r="L75" s="7"/>
      <c r="M75" s="22">
        <f t="shared" si="2"/>
        <v>0</v>
      </c>
      <c r="N75" s="2">
        <f t="shared" si="3"/>
        <v>0</v>
      </c>
      <c r="O75" s="22"/>
    </row>
    <row r="76" ht="15.75" customHeight="1">
      <c r="B76" s="2"/>
      <c r="F76" s="31"/>
      <c r="G76" s="7"/>
      <c r="H76" s="7"/>
      <c r="I76" s="32"/>
      <c r="J76" s="12"/>
      <c r="K76" s="7"/>
      <c r="L76" s="7"/>
      <c r="M76" s="22">
        <f t="shared" si="2"/>
        <v>0</v>
      </c>
      <c r="N76" s="2">
        <f t="shared" si="3"/>
        <v>0</v>
      </c>
      <c r="O76" s="22"/>
    </row>
    <row r="77" ht="15.75" customHeight="1">
      <c r="B77" s="2"/>
      <c r="F77" s="31"/>
      <c r="G77" s="7"/>
      <c r="H77" s="7"/>
      <c r="I77" s="32"/>
      <c r="J77" s="12"/>
      <c r="K77" s="7"/>
      <c r="L77" s="7"/>
      <c r="M77" s="22">
        <f t="shared" si="2"/>
        <v>0</v>
      </c>
      <c r="N77" s="2">
        <f t="shared" si="3"/>
        <v>0</v>
      </c>
      <c r="O77" s="22"/>
    </row>
    <row r="78" ht="15.75" customHeight="1">
      <c r="B78" s="2"/>
      <c r="F78" s="39"/>
      <c r="G78" s="7"/>
      <c r="H78" s="7"/>
      <c r="I78" s="32"/>
      <c r="J78" s="44"/>
      <c r="K78" s="7"/>
      <c r="L78" s="7"/>
      <c r="M78" s="22">
        <f t="shared" si="2"/>
        <v>0</v>
      </c>
      <c r="N78" s="2">
        <f t="shared" si="3"/>
        <v>0</v>
      </c>
      <c r="O78" s="22"/>
    </row>
    <row r="79" ht="15.75" customHeight="1">
      <c r="B79" s="2"/>
      <c r="F79" s="31"/>
      <c r="G79" s="7"/>
      <c r="H79" s="7"/>
      <c r="I79" s="32"/>
      <c r="J79" s="12"/>
      <c r="K79" s="7"/>
      <c r="L79" s="7"/>
      <c r="M79" s="22">
        <f t="shared" si="2"/>
        <v>0</v>
      </c>
      <c r="N79" s="2">
        <f t="shared" si="3"/>
        <v>0</v>
      </c>
      <c r="O79" s="22"/>
    </row>
    <row r="80" ht="15.75" customHeight="1">
      <c r="B80" s="2"/>
      <c r="F80" s="31"/>
      <c r="G80" s="7"/>
      <c r="H80" s="7"/>
      <c r="I80" s="32"/>
      <c r="J80" s="12"/>
      <c r="K80" s="7"/>
      <c r="L80" s="7"/>
      <c r="M80" s="22">
        <f t="shared" si="2"/>
        <v>0</v>
      </c>
      <c r="N80" s="2">
        <f t="shared" si="3"/>
        <v>0</v>
      </c>
      <c r="O80" s="22"/>
    </row>
    <row r="81" ht="15.75" customHeight="1">
      <c r="B81" s="2"/>
      <c r="F81" s="31"/>
      <c r="G81" s="7"/>
      <c r="H81" s="7"/>
      <c r="I81" s="32"/>
      <c r="J81" s="12"/>
      <c r="K81" s="7"/>
      <c r="L81" s="7"/>
      <c r="M81" s="22">
        <f t="shared" si="2"/>
        <v>0</v>
      </c>
      <c r="N81" s="2">
        <f t="shared" si="3"/>
        <v>0</v>
      </c>
      <c r="O81" s="22"/>
    </row>
    <row r="82" ht="15.75" customHeight="1">
      <c r="B82" s="2"/>
      <c r="F82" s="31"/>
      <c r="G82" s="7"/>
      <c r="H82" s="7"/>
      <c r="I82" s="32"/>
      <c r="J82" s="12"/>
      <c r="K82" s="7"/>
      <c r="L82" s="7"/>
      <c r="M82" s="22">
        <f t="shared" si="2"/>
        <v>0</v>
      </c>
      <c r="N82" s="2">
        <f t="shared" si="3"/>
        <v>0</v>
      </c>
      <c r="O82" s="22"/>
    </row>
    <row r="83" ht="15.75" customHeight="1">
      <c r="B83" s="2"/>
      <c r="F83" s="39"/>
      <c r="G83" s="7"/>
      <c r="H83" s="7"/>
      <c r="I83" s="32"/>
      <c r="J83" s="12"/>
      <c r="K83" s="7"/>
      <c r="L83" s="7"/>
      <c r="M83" s="22">
        <f t="shared" si="2"/>
        <v>0</v>
      </c>
      <c r="N83" s="2">
        <f t="shared" si="3"/>
        <v>0</v>
      </c>
      <c r="O83" s="22"/>
    </row>
    <row r="84" ht="15.75" customHeight="1">
      <c r="B84" s="2"/>
      <c r="F84" s="31"/>
      <c r="G84" s="7"/>
      <c r="H84" s="7"/>
      <c r="I84" s="32"/>
      <c r="J84" s="12"/>
      <c r="K84" s="7"/>
      <c r="L84" s="7"/>
      <c r="M84" s="22">
        <f t="shared" si="2"/>
        <v>0</v>
      </c>
      <c r="N84" s="2">
        <f t="shared" si="3"/>
        <v>0</v>
      </c>
      <c r="O84" s="22"/>
    </row>
    <row r="85" ht="15.75" customHeight="1">
      <c r="B85" s="2"/>
      <c r="F85" s="31"/>
      <c r="G85" s="7"/>
      <c r="H85" s="7"/>
      <c r="I85" s="32"/>
      <c r="J85" s="12"/>
      <c r="K85" s="7"/>
      <c r="L85" s="7"/>
      <c r="M85" s="22">
        <f t="shared" si="2"/>
        <v>0</v>
      </c>
      <c r="N85" s="2">
        <f t="shared" si="3"/>
        <v>0</v>
      </c>
      <c r="O85" s="22"/>
    </row>
    <row r="86" ht="15.75" customHeight="1">
      <c r="B86" s="2"/>
      <c r="F86" s="31"/>
      <c r="G86" s="7"/>
      <c r="H86" s="7"/>
      <c r="I86" s="32"/>
      <c r="J86" s="12"/>
      <c r="K86" s="7"/>
      <c r="L86" s="7"/>
      <c r="M86" s="22">
        <f t="shared" si="2"/>
        <v>0</v>
      </c>
      <c r="N86" s="2">
        <f t="shared" si="3"/>
        <v>0</v>
      </c>
      <c r="O86" s="22"/>
    </row>
    <row r="87" ht="15.75" customHeight="1">
      <c r="B87" s="2"/>
      <c r="F87" s="31"/>
      <c r="G87" s="7"/>
      <c r="H87" s="7"/>
      <c r="I87" s="32"/>
      <c r="J87" s="12"/>
      <c r="K87" s="7"/>
      <c r="L87" s="7"/>
      <c r="M87" s="22">
        <f t="shared" si="2"/>
        <v>0</v>
      </c>
      <c r="N87" s="2">
        <f t="shared" si="3"/>
        <v>0</v>
      </c>
      <c r="O87" s="22"/>
    </row>
    <row r="88" ht="15.75" customHeight="1">
      <c r="B88" s="2"/>
      <c r="F88" s="31"/>
      <c r="G88" s="7"/>
      <c r="H88" s="7"/>
      <c r="I88" s="32"/>
      <c r="J88" s="12"/>
      <c r="K88" s="7"/>
      <c r="L88" s="7"/>
      <c r="M88" s="22">
        <f t="shared" si="2"/>
        <v>0</v>
      </c>
      <c r="N88" s="2">
        <f t="shared" si="3"/>
        <v>0</v>
      </c>
      <c r="O88" s="22"/>
    </row>
    <row r="89" ht="15.75" customHeight="1">
      <c r="B89" s="2"/>
      <c r="F89" s="31"/>
      <c r="G89" s="7"/>
      <c r="H89" s="7"/>
      <c r="I89" s="32"/>
      <c r="J89" s="12"/>
      <c r="K89" s="7"/>
      <c r="L89" s="7"/>
      <c r="M89" s="22">
        <f t="shared" si="2"/>
        <v>0</v>
      </c>
      <c r="N89" s="2">
        <f t="shared" si="3"/>
        <v>0</v>
      </c>
      <c r="O89" s="22"/>
    </row>
    <row r="90" ht="15.75" customHeight="1">
      <c r="B90" s="2"/>
      <c r="F90" s="31"/>
      <c r="G90" s="7"/>
      <c r="H90" s="7"/>
      <c r="I90" s="32"/>
      <c r="J90" s="12"/>
      <c r="K90" s="7"/>
      <c r="L90" s="7"/>
      <c r="M90" s="22">
        <f t="shared" si="2"/>
        <v>0</v>
      </c>
      <c r="N90" s="2">
        <f t="shared" si="3"/>
        <v>0</v>
      </c>
      <c r="O90" s="22"/>
    </row>
    <row r="91" ht="15.75" customHeight="1">
      <c r="B91" s="2"/>
      <c r="F91" s="31"/>
      <c r="G91" s="7"/>
      <c r="H91" s="7"/>
      <c r="I91" s="32"/>
      <c r="J91" s="12"/>
      <c r="K91" s="7"/>
      <c r="L91" s="7"/>
      <c r="M91" s="22">
        <f t="shared" si="2"/>
        <v>0</v>
      </c>
      <c r="N91" s="2">
        <f t="shared" si="3"/>
        <v>0</v>
      </c>
      <c r="O91" s="22"/>
    </row>
    <row r="92" ht="15.75" customHeight="1">
      <c r="B92" s="2"/>
      <c r="F92" s="31"/>
      <c r="G92" s="7"/>
      <c r="H92" s="7"/>
      <c r="I92" s="32"/>
      <c r="J92" s="12"/>
      <c r="K92" s="7"/>
      <c r="L92" s="7"/>
      <c r="M92" s="22">
        <f t="shared" si="2"/>
        <v>0</v>
      </c>
      <c r="N92" s="2">
        <f t="shared" si="3"/>
        <v>0</v>
      </c>
      <c r="O92" s="22"/>
    </row>
    <row r="93" ht="15.75" customHeight="1">
      <c r="B93" s="2"/>
      <c r="F93" s="31"/>
      <c r="G93" s="7"/>
      <c r="H93" s="7"/>
      <c r="I93" s="32"/>
      <c r="J93" s="12"/>
      <c r="K93" s="7"/>
      <c r="L93" s="7"/>
      <c r="M93" s="22">
        <f t="shared" si="2"/>
        <v>0</v>
      </c>
      <c r="N93" s="2">
        <f t="shared" si="3"/>
        <v>0</v>
      </c>
      <c r="O93" s="22"/>
    </row>
    <row r="94" ht="15.75" customHeight="1">
      <c r="B94" s="2"/>
      <c r="F94" s="31"/>
      <c r="G94" s="7"/>
      <c r="H94" s="7"/>
      <c r="I94" s="32"/>
      <c r="J94" s="12"/>
      <c r="K94" s="7"/>
      <c r="L94" s="7"/>
      <c r="M94" s="22">
        <f t="shared" si="2"/>
        <v>0</v>
      </c>
      <c r="N94" s="2">
        <f t="shared" si="3"/>
        <v>0</v>
      </c>
      <c r="O94" s="22"/>
    </row>
    <row r="95" ht="15.75" customHeight="1">
      <c r="B95" s="2"/>
      <c r="F95" s="31"/>
      <c r="G95" s="7"/>
      <c r="H95" s="7"/>
      <c r="I95" s="32"/>
      <c r="J95" s="12"/>
      <c r="K95" s="7"/>
      <c r="L95" s="7"/>
      <c r="M95" s="22">
        <f t="shared" si="2"/>
        <v>0</v>
      </c>
      <c r="N95" s="2">
        <f t="shared" si="3"/>
        <v>0</v>
      </c>
      <c r="O95" s="22"/>
    </row>
    <row r="96" ht="15.75" customHeight="1">
      <c r="B96" s="2"/>
      <c r="F96" s="31"/>
      <c r="G96" s="7"/>
      <c r="H96" s="7"/>
      <c r="I96" s="32"/>
      <c r="J96" s="12"/>
      <c r="K96" s="7"/>
      <c r="L96" s="7"/>
      <c r="M96" s="22">
        <f t="shared" si="2"/>
        <v>0</v>
      </c>
      <c r="N96" s="2">
        <f t="shared" si="3"/>
        <v>0</v>
      </c>
      <c r="O96" s="22"/>
    </row>
    <row r="97" ht="15.75" customHeight="1">
      <c r="B97" s="2"/>
      <c r="F97" s="31"/>
      <c r="G97" s="7"/>
      <c r="H97" s="7"/>
      <c r="I97" s="32"/>
      <c r="J97" s="12"/>
      <c r="K97" s="7"/>
      <c r="L97" s="7"/>
      <c r="M97" s="22">
        <f t="shared" si="2"/>
        <v>0</v>
      </c>
      <c r="N97" s="2">
        <f t="shared" si="3"/>
        <v>0</v>
      </c>
      <c r="O97" s="22"/>
    </row>
    <row r="98" ht="15.75" customHeight="1">
      <c r="B98" s="2"/>
      <c r="F98" s="31"/>
      <c r="G98" s="7"/>
      <c r="H98" s="7"/>
      <c r="I98" s="32"/>
      <c r="J98" s="12"/>
      <c r="K98" s="7"/>
      <c r="L98" s="7"/>
      <c r="M98" s="22">
        <f t="shared" si="2"/>
        <v>0</v>
      </c>
      <c r="N98" s="2">
        <f t="shared" si="3"/>
        <v>0</v>
      </c>
      <c r="O98" s="22"/>
    </row>
    <row r="99" ht="15.75" customHeight="1">
      <c r="B99" s="2"/>
      <c r="F99" s="31"/>
      <c r="G99" s="7"/>
      <c r="H99" s="7"/>
      <c r="I99" s="32"/>
      <c r="J99" s="12"/>
      <c r="K99" s="7"/>
      <c r="L99" s="7"/>
      <c r="M99" s="22">
        <f t="shared" si="2"/>
        <v>0</v>
      </c>
      <c r="N99" s="2">
        <f t="shared" si="3"/>
        <v>0</v>
      </c>
      <c r="O99" s="22"/>
    </row>
    <row r="100" ht="15.75" customHeight="1">
      <c r="B100" s="2"/>
      <c r="F100" s="31"/>
      <c r="G100" s="7"/>
      <c r="H100" s="7"/>
      <c r="I100" s="32"/>
      <c r="J100" s="12"/>
      <c r="K100" s="7"/>
      <c r="L100" s="7"/>
      <c r="M100" s="22">
        <f t="shared" si="2"/>
        <v>0</v>
      </c>
      <c r="N100" s="2">
        <f t="shared" si="3"/>
        <v>0</v>
      </c>
      <c r="O100" s="22"/>
    </row>
    <row r="101" ht="15.75" customHeight="1">
      <c r="B101" s="2"/>
      <c r="F101" s="7"/>
      <c r="G101" s="7"/>
      <c r="H101" s="7"/>
      <c r="I101" s="2"/>
      <c r="J101" s="12"/>
      <c r="K101" s="7"/>
      <c r="L101" s="7"/>
      <c r="M101" s="22">
        <f t="shared" si="2"/>
        <v>0</v>
      </c>
      <c r="N101" s="2">
        <f t="shared" si="3"/>
        <v>0</v>
      </c>
      <c r="O101" s="22"/>
    </row>
    <row r="102" ht="15.75" customHeight="1">
      <c r="B102" s="2"/>
      <c r="F102" s="45"/>
      <c r="G102" s="7"/>
      <c r="H102" s="7"/>
      <c r="I102" s="2"/>
      <c r="J102" s="12"/>
      <c r="K102" s="7"/>
      <c r="L102" s="7"/>
      <c r="M102" s="22">
        <f t="shared" si="2"/>
        <v>0</v>
      </c>
      <c r="N102" s="2">
        <f t="shared" si="3"/>
        <v>0</v>
      </c>
      <c r="O102" s="22"/>
    </row>
    <row r="103" ht="15.75" customHeight="1">
      <c r="B103" s="2"/>
      <c r="F103" s="45"/>
      <c r="G103" s="7"/>
      <c r="H103" s="7"/>
      <c r="I103" s="2"/>
      <c r="J103" s="12"/>
      <c r="K103" s="7"/>
      <c r="L103" s="7"/>
      <c r="M103" s="22">
        <f t="shared" si="2"/>
        <v>0</v>
      </c>
      <c r="N103" s="2">
        <f t="shared" si="3"/>
        <v>0</v>
      </c>
      <c r="O103" s="22"/>
    </row>
    <row r="104" ht="15.75" customHeight="1">
      <c r="B104" s="2"/>
      <c r="F104" s="45"/>
      <c r="G104" s="7"/>
      <c r="H104" s="7"/>
      <c r="I104" s="2"/>
      <c r="J104" s="12"/>
      <c r="K104" s="7"/>
      <c r="L104" s="7"/>
      <c r="M104" s="22">
        <f t="shared" si="2"/>
        <v>0</v>
      </c>
      <c r="N104" s="2">
        <f t="shared" si="3"/>
        <v>0</v>
      </c>
      <c r="O104" s="22"/>
    </row>
    <row r="105" ht="15.75" customHeight="1">
      <c r="B105" s="2"/>
      <c r="F105" s="7"/>
      <c r="G105" s="7"/>
      <c r="H105" s="7"/>
      <c r="I105" s="2"/>
      <c r="J105" s="12"/>
      <c r="K105" s="7"/>
      <c r="L105" s="7"/>
      <c r="M105" s="22">
        <f t="shared" si="2"/>
        <v>0</v>
      </c>
      <c r="N105" s="2">
        <f t="shared" si="3"/>
        <v>0</v>
      </c>
      <c r="O105" s="22"/>
    </row>
    <row r="106" ht="15.75" customHeight="1">
      <c r="B106" s="2"/>
      <c r="F106" s="7"/>
      <c r="G106" s="7"/>
      <c r="H106" s="7"/>
      <c r="I106" s="2"/>
      <c r="J106" s="12"/>
      <c r="K106" s="7"/>
      <c r="L106" s="7"/>
      <c r="M106" s="22">
        <f t="shared" si="2"/>
        <v>0</v>
      </c>
      <c r="N106" s="2">
        <f t="shared" si="3"/>
        <v>0</v>
      </c>
      <c r="O106" s="22"/>
    </row>
    <row r="107" ht="15.75" customHeight="1">
      <c r="B107" s="2"/>
      <c r="F107" s="23"/>
      <c r="G107" s="7"/>
      <c r="H107" s="7"/>
      <c r="I107" s="2"/>
      <c r="J107" s="12"/>
      <c r="K107" s="7"/>
      <c r="L107" s="7"/>
      <c r="M107" s="22">
        <f t="shared" si="2"/>
        <v>0</v>
      </c>
      <c r="N107" s="2">
        <f t="shared" si="3"/>
        <v>0</v>
      </c>
      <c r="O107" s="22"/>
    </row>
    <row r="108" ht="15.75" customHeight="1">
      <c r="B108" s="2"/>
      <c r="F108" s="7"/>
      <c r="G108" s="7"/>
      <c r="H108" s="7"/>
      <c r="I108" s="2"/>
      <c r="J108" s="12"/>
      <c r="K108" s="7"/>
      <c r="L108" s="7"/>
      <c r="M108" s="22">
        <f t="shared" si="2"/>
        <v>0</v>
      </c>
      <c r="N108" s="2">
        <f t="shared" si="3"/>
        <v>0</v>
      </c>
      <c r="O108" s="22"/>
    </row>
    <row r="109" ht="15.75" customHeight="1">
      <c r="B109" s="2"/>
      <c r="F109" s="7"/>
      <c r="G109" s="7"/>
      <c r="H109" s="7"/>
      <c r="I109" s="2"/>
      <c r="J109" s="46"/>
      <c r="K109" s="7"/>
      <c r="L109" s="7"/>
      <c r="M109" s="22">
        <f t="shared" si="2"/>
        <v>0</v>
      </c>
      <c r="N109" s="2">
        <f t="shared" si="3"/>
        <v>0</v>
      </c>
      <c r="O109" s="22"/>
    </row>
    <row r="110" ht="15.75" customHeight="1">
      <c r="B110" s="2"/>
      <c r="F110" s="7"/>
      <c r="G110" s="7"/>
      <c r="H110" s="7"/>
      <c r="I110" s="2"/>
      <c r="J110" s="46"/>
      <c r="K110" s="7"/>
      <c r="L110" s="7"/>
      <c r="M110" s="22">
        <f t="shared" si="2"/>
        <v>0</v>
      </c>
      <c r="N110" s="2">
        <f t="shared" si="3"/>
        <v>0</v>
      </c>
      <c r="O110" s="22"/>
    </row>
    <row r="111" ht="15.75" customHeight="1">
      <c r="B111" s="2"/>
      <c r="F111" s="47"/>
      <c r="G111" s="7"/>
      <c r="H111" s="23"/>
      <c r="I111" s="24"/>
      <c r="J111" s="12"/>
      <c r="K111" s="7"/>
      <c r="L111" s="7"/>
      <c r="M111" s="22">
        <f t="shared" si="2"/>
        <v>0</v>
      </c>
      <c r="N111" s="2">
        <f t="shared" si="3"/>
        <v>0</v>
      </c>
      <c r="O111" s="22"/>
    </row>
    <row r="112" ht="15.75" customHeight="1">
      <c r="B112" s="2"/>
      <c r="F112" s="47"/>
      <c r="G112" s="7"/>
      <c r="H112" s="23"/>
      <c r="I112" s="48"/>
      <c r="J112" s="12"/>
      <c r="K112" s="7"/>
      <c r="L112" s="7"/>
      <c r="M112" s="22">
        <f t="shared" si="2"/>
        <v>0</v>
      </c>
      <c r="N112" s="2">
        <f t="shared" si="3"/>
        <v>0</v>
      </c>
      <c r="O112" s="22"/>
    </row>
    <row r="113" ht="15.75" customHeight="1">
      <c r="B113" s="49"/>
      <c r="D113" s="50"/>
      <c r="F113" s="51"/>
      <c r="G113" s="7"/>
      <c r="H113" s="23"/>
      <c r="I113" s="24"/>
      <c r="J113" s="12"/>
      <c r="K113" s="7"/>
      <c r="L113" s="7"/>
      <c r="M113" s="22">
        <f t="shared" si="2"/>
        <v>0</v>
      </c>
      <c r="N113" s="2">
        <f t="shared" si="3"/>
        <v>0</v>
      </c>
      <c r="O113" s="22"/>
    </row>
    <row r="114" ht="15.75" customHeight="1">
      <c r="B114" s="52"/>
      <c r="D114" s="50"/>
      <c r="F114" s="51"/>
      <c r="G114" s="7"/>
      <c r="H114" s="23"/>
      <c r="I114" s="24"/>
      <c r="J114" s="12"/>
      <c r="K114" s="7"/>
      <c r="L114" s="7"/>
      <c r="M114" s="22">
        <f t="shared" si="2"/>
        <v>0</v>
      </c>
      <c r="N114" s="2">
        <f t="shared" si="3"/>
        <v>0</v>
      </c>
      <c r="O114" s="22"/>
    </row>
    <row r="115" ht="15.75" customHeight="1">
      <c r="B115" s="2"/>
      <c r="F115" s="53"/>
      <c r="G115" s="7"/>
      <c r="H115" s="23"/>
      <c r="I115" s="24"/>
      <c r="J115" s="12"/>
      <c r="K115" s="7"/>
      <c r="L115" s="7"/>
      <c r="M115" s="22">
        <f t="shared" si="2"/>
        <v>0</v>
      </c>
      <c r="N115" s="2">
        <f t="shared" si="3"/>
        <v>0</v>
      </c>
      <c r="O115" s="22"/>
    </row>
    <row r="116" ht="15.75" customHeight="1">
      <c r="B116" s="2"/>
      <c r="F116" s="51"/>
      <c r="G116" s="7"/>
      <c r="H116" s="23"/>
      <c r="I116" s="24"/>
      <c r="J116" s="12"/>
      <c r="K116" s="7"/>
      <c r="L116" s="7"/>
      <c r="M116" s="22">
        <f t="shared" si="2"/>
        <v>0</v>
      </c>
      <c r="N116" s="2">
        <f t="shared" si="3"/>
        <v>0</v>
      </c>
      <c r="O116" s="22"/>
    </row>
    <row r="117" ht="15.75" customHeight="1">
      <c r="B117" s="2"/>
      <c r="F117" s="53"/>
      <c r="G117" s="7"/>
      <c r="H117" s="23"/>
      <c r="I117" s="24"/>
      <c r="J117" s="12"/>
      <c r="K117" s="7"/>
      <c r="L117" s="7"/>
      <c r="M117" s="22">
        <f t="shared" si="2"/>
        <v>0</v>
      </c>
      <c r="N117" s="2">
        <f t="shared" si="3"/>
        <v>0</v>
      </c>
      <c r="O117" s="22"/>
    </row>
    <row r="118" ht="15.75" customHeight="1">
      <c r="B118" s="2"/>
      <c r="F118" s="53"/>
      <c r="G118" s="7"/>
      <c r="H118" s="23"/>
      <c r="I118" s="24"/>
      <c r="J118" s="12"/>
      <c r="K118" s="7"/>
      <c r="L118" s="7"/>
      <c r="M118" s="22">
        <f t="shared" si="2"/>
        <v>0</v>
      </c>
      <c r="N118" s="2">
        <f t="shared" si="3"/>
        <v>0</v>
      </c>
      <c r="O118" s="22"/>
    </row>
    <row r="119" ht="15.75" customHeight="1">
      <c r="B119" s="2"/>
      <c r="F119" s="47"/>
      <c r="G119" s="7"/>
      <c r="H119" s="23"/>
      <c r="I119" s="24"/>
      <c r="J119" s="12"/>
      <c r="K119" s="7"/>
      <c r="L119" s="7"/>
      <c r="M119" s="22">
        <f t="shared" si="2"/>
        <v>0</v>
      </c>
      <c r="N119" s="2">
        <f t="shared" si="3"/>
        <v>0</v>
      </c>
      <c r="O119" s="22"/>
    </row>
    <row r="120" ht="15.75" customHeight="1">
      <c r="B120" s="2"/>
      <c r="F120" s="47"/>
      <c r="G120" s="7"/>
      <c r="H120" s="23"/>
      <c r="I120" s="24"/>
      <c r="J120" s="12"/>
      <c r="K120" s="7"/>
      <c r="L120" s="7"/>
      <c r="M120" s="22">
        <f t="shared" si="2"/>
        <v>0</v>
      </c>
      <c r="N120" s="2">
        <f t="shared" si="3"/>
        <v>0</v>
      </c>
      <c r="O120" s="22"/>
    </row>
    <row r="121" ht="15.75" customHeight="1">
      <c r="B121" s="2"/>
      <c r="F121" s="47"/>
      <c r="G121" s="7"/>
      <c r="H121" s="7"/>
      <c r="I121" s="2"/>
      <c r="J121" s="12"/>
      <c r="K121" s="7"/>
      <c r="L121" s="7"/>
      <c r="M121" s="22">
        <f t="shared" si="2"/>
        <v>0</v>
      </c>
      <c r="N121" s="2">
        <f t="shared" si="3"/>
        <v>0</v>
      </c>
      <c r="O121" s="22"/>
    </row>
    <row r="122" ht="15.75" customHeight="1">
      <c r="B122" s="2"/>
      <c r="F122" s="7"/>
      <c r="G122" s="7"/>
      <c r="H122" s="7"/>
      <c r="I122" s="2"/>
      <c r="J122" s="12"/>
      <c r="K122" s="7"/>
      <c r="L122" s="7"/>
      <c r="M122" s="22">
        <f t="shared" si="2"/>
        <v>0</v>
      </c>
      <c r="N122" s="2">
        <f t="shared" si="3"/>
        <v>0</v>
      </c>
      <c r="O122" s="22"/>
    </row>
    <row r="123" ht="15.75" customHeight="1">
      <c r="B123" s="2"/>
      <c r="F123" s="7"/>
      <c r="G123" s="7"/>
      <c r="H123" s="7"/>
      <c r="I123" s="2"/>
      <c r="J123" s="12"/>
      <c r="K123" s="7"/>
      <c r="L123" s="7"/>
      <c r="M123" s="22">
        <f t="shared" si="2"/>
        <v>0</v>
      </c>
      <c r="N123" s="2">
        <f t="shared" si="3"/>
        <v>0</v>
      </c>
      <c r="O123" s="22"/>
    </row>
    <row r="124" ht="15.75" customHeight="1">
      <c r="B124" s="2"/>
      <c r="F124" s="7"/>
      <c r="G124" s="7"/>
      <c r="H124" s="7"/>
      <c r="I124" s="2"/>
      <c r="J124" s="12"/>
      <c r="K124" s="7"/>
      <c r="L124" s="7"/>
      <c r="M124" s="22">
        <f t="shared" si="2"/>
        <v>0</v>
      </c>
      <c r="N124" s="2">
        <f t="shared" si="3"/>
        <v>0</v>
      </c>
      <c r="O124" s="22"/>
    </row>
    <row r="125" ht="15.75" customHeight="1">
      <c r="B125" s="2"/>
      <c r="F125" s="7"/>
      <c r="G125" s="7"/>
      <c r="H125" s="7"/>
      <c r="I125" s="2"/>
      <c r="J125" s="12"/>
      <c r="K125" s="7"/>
      <c r="L125" s="7"/>
      <c r="M125" s="22">
        <f t="shared" si="2"/>
        <v>0</v>
      </c>
      <c r="N125" s="2">
        <f t="shared" si="3"/>
        <v>0</v>
      </c>
      <c r="O125" s="22"/>
    </row>
    <row r="126" ht="15.75" customHeight="1">
      <c r="B126" s="2"/>
      <c r="F126" s="7"/>
      <c r="G126" s="7"/>
      <c r="H126" s="7"/>
      <c r="I126" s="2"/>
      <c r="J126" s="12"/>
      <c r="K126" s="7"/>
      <c r="L126" s="7"/>
      <c r="M126" s="22">
        <f t="shared" si="2"/>
        <v>0</v>
      </c>
      <c r="N126" s="2">
        <f t="shared" si="3"/>
        <v>0</v>
      </c>
      <c r="O126" s="22"/>
    </row>
    <row r="127" ht="15.75" customHeight="1">
      <c r="B127" s="2"/>
      <c r="F127" s="7"/>
      <c r="G127" s="7"/>
      <c r="H127" s="7"/>
      <c r="I127" s="2"/>
      <c r="J127" s="12"/>
      <c r="K127" s="7"/>
      <c r="L127" s="7"/>
      <c r="M127" s="22">
        <f t="shared" si="2"/>
        <v>0</v>
      </c>
      <c r="N127" s="2">
        <f t="shared" si="3"/>
        <v>0</v>
      </c>
      <c r="O127" s="22"/>
    </row>
    <row r="128" ht="15.75" customHeight="1">
      <c r="B128" s="2"/>
      <c r="F128" s="7"/>
      <c r="G128" s="7"/>
      <c r="H128" s="7"/>
      <c r="I128" s="2"/>
      <c r="J128" s="12"/>
      <c r="K128" s="7"/>
      <c r="L128" s="7"/>
      <c r="M128" s="22">
        <f t="shared" si="2"/>
        <v>0</v>
      </c>
      <c r="N128" s="2">
        <f t="shared" si="3"/>
        <v>0</v>
      </c>
      <c r="O128" s="22"/>
    </row>
    <row r="129" ht="15.75" customHeight="1">
      <c r="B129" s="2"/>
      <c r="F129" s="7"/>
      <c r="G129" s="7"/>
      <c r="H129" s="7"/>
      <c r="I129" s="2"/>
      <c r="J129" s="12"/>
      <c r="K129" s="7"/>
      <c r="L129" s="7"/>
      <c r="M129" s="22">
        <f t="shared" si="2"/>
        <v>0</v>
      </c>
      <c r="N129" s="2">
        <f t="shared" si="3"/>
        <v>0</v>
      </c>
      <c r="O129" s="22"/>
    </row>
    <row r="130" ht="15.75" customHeight="1">
      <c r="B130" s="2"/>
      <c r="F130" s="7"/>
      <c r="G130" s="7"/>
      <c r="H130" s="7"/>
      <c r="I130" s="2"/>
      <c r="J130" s="12"/>
      <c r="K130" s="7"/>
      <c r="L130" s="7"/>
      <c r="M130" s="22">
        <f t="shared" si="2"/>
        <v>0</v>
      </c>
      <c r="N130" s="2">
        <f t="shared" si="3"/>
        <v>0</v>
      </c>
      <c r="O130" s="22"/>
    </row>
    <row r="131" ht="15.75" customHeight="1">
      <c r="B131" s="2"/>
      <c r="F131" s="7"/>
      <c r="G131" s="7"/>
      <c r="H131" s="7"/>
      <c r="I131" s="2"/>
      <c r="J131" s="12"/>
      <c r="K131" s="7"/>
      <c r="L131" s="7"/>
      <c r="M131" s="22">
        <f t="shared" si="2"/>
        <v>0</v>
      </c>
      <c r="N131" s="2">
        <f t="shared" si="3"/>
        <v>0</v>
      </c>
      <c r="O131" s="22"/>
    </row>
    <row r="132" ht="15.75" customHeight="1">
      <c r="B132" s="2"/>
      <c r="F132" s="7"/>
      <c r="G132" s="7"/>
      <c r="H132" s="7"/>
      <c r="I132" s="2"/>
      <c r="J132" s="12"/>
      <c r="K132" s="7"/>
      <c r="L132" s="7"/>
      <c r="M132" s="22">
        <f t="shared" si="2"/>
        <v>0</v>
      </c>
      <c r="N132" s="2">
        <f t="shared" si="3"/>
        <v>0</v>
      </c>
      <c r="O132" s="22"/>
    </row>
    <row r="133" ht="15.75" customHeight="1">
      <c r="B133" s="2"/>
      <c r="F133" s="7"/>
      <c r="G133" s="7"/>
      <c r="H133" s="7"/>
      <c r="I133" s="2"/>
      <c r="J133" s="12"/>
      <c r="K133" s="7"/>
      <c r="L133" s="7"/>
      <c r="M133" s="22">
        <f t="shared" si="2"/>
        <v>0</v>
      </c>
      <c r="N133" s="2">
        <f t="shared" si="3"/>
        <v>0</v>
      </c>
      <c r="O133" s="22"/>
    </row>
    <row r="134" ht="15.75" customHeight="1">
      <c r="B134" s="2"/>
      <c r="F134" s="7"/>
      <c r="G134" s="7"/>
      <c r="H134" s="7"/>
      <c r="I134" s="2"/>
      <c r="J134" s="12"/>
      <c r="K134" s="7"/>
      <c r="L134" s="7"/>
      <c r="M134" s="22">
        <f t="shared" si="2"/>
        <v>0</v>
      </c>
      <c r="N134" s="2">
        <f t="shared" si="3"/>
        <v>0</v>
      </c>
      <c r="O134" s="22"/>
    </row>
    <row r="135" ht="15.75" customHeight="1">
      <c r="B135" s="2"/>
      <c r="F135" s="7"/>
      <c r="G135" s="7"/>
      <c r="H135" s="7"/>
      <c r="I135" s="2"/>
      <c r="J135" s="12"/>
      <c r="K135" s="7"/>
      <c r="L135" s="7"/>
      <c r="M135" s="22">
        <f t="shared" si="2"/>
        <v>0</v>
      </c>
      <c r="N135" s="2">
        <f t="shared" si="3"/>
        <v>0</v>
      </c>
      <c r="O135" s="22"/>
    </row>
    <row r="136" ht="15.75" customHeight="1">
      <c r="B136" s="2"/>
      <c r="F136" s="7"/>
      <c r="G136" s="7"/>
      <c r="H136" s="7"/>
      <c r="I136" s="2"/>
      <c r="J136" s="12"/>
      <c r="K136" s="7"/>
      <c r="L136" s="7"/>
      <c r="M136" s="22">
        <f t="shared" si="2"/>
        <v>0</v>
      </c>
      <c r="N136" s="2">
        <f t="shared" si="3"/>
        <v>0</v>
      </c>
      <c r="O136" s="22"/>
    </row>
    <row r="137" ht="15.75" customHeight="1">
      <c r="B137" s="2"/>
      <c r="F137" s="7"/>
      <c r="G137" s="7"/>
      <c r="H137" s="7"/>
      <c r="I137" s="2"/>
      <c r="J137" s="12"/>
      <c r="K137" s="7"/>
      <c r="L137" s="7"/>
      <c r="M137" s="22">
        <f t="shared" si="2"/>
        <v>0</v>
      </c>
      <c r="N137" s="2">
        <f t="shared" si="3"/>
        <v>0</v>
      </c>
      <c r="O137" s="22"/>
    </row>
    <row r="138" ht="15.75" customHeight="1">
      <c r="B138" s="2"/>
      <c r="F138" s="7"/>
      <c r="G138" s="7"/>
      <c r="H138" s="7"/>
      <c r="I138" s="2"/>
      <c r="J138" s="12"/>
      <c r="K138" s="7"/>
      <c r="L138" s="7"/>
      <c r="M138" s="22">
        <f t="shared" si="2"/>
        <v>0</v>
      </c>
      <c r="N138" s="2">
        <f t="shared" si="3"/>
        <v>0</v>
      </c>
      <c r="O138" s="22"/>
    </row>
    <row r="139" ht="15.75" customHeight="1">
      <c r="B139" s="2"/>
      <c r="F139" s="7"/>
      <c r="G139" s="7"/>
      <c r="H139" s="7"/>
      <c r="I139" s="2"/>
      <c r="J139" s="12"/>
      <c r="K139" s="7"/>
      <c r="L139" s="7"/>
      <c r="M139" s="22">
        <f t="shared" si="2"/>
        <v>0</v>
      </c>
      <c r="N139" s="2">
        <f t="shared" si="3"/>
        <v>0</v>
      </c>
      <c r="O139" s="22"/>
    </row>
    <row r="140" ht="15.75" customHeight="1">
      <c r="B140" s="2"/>
      <c r="F140" s="7"/>
      <c r="G140" s="7"/>
      <c r="H140" s="7"/>
      <c r="I140" s="2"/>
      <c r="J140" s="12"/>
      <c r="K140" s="7"/>
      <c r="L140" s="7"/>
      <c r="M140" s="22">
        <f t="shared" si="2"/>
        <v>0</v>
      </c>
      <c r="N140" s="2">
        <f t="shared" si="3"/>
        <v>0</v>
      </c>
      <c r="O140" s="22"/>
    </row>
    <row r="141" ht="15.75" customHeight="1">
      <c r="B141" s="2"/>
      <c r="F141" s="7"/>
      <c r="G141" s="7"/>
      <c r="H141" s="7"/>
      <c r="I141" s="2"/>
      <c r="J141" s="12"/>
      <c r="K141" s="7"/>
      <c r="L141" s="7"/>
      <c r="M141" s="22">
        <f t="shared" si="2"/>
        <v>0</v>
      </c>
      <c r="N141" s="2">
        <f t="shared" si="3"/>
        <v>0</v>
      </c>
      <c r="O141" s="22"/>
    </row>
    <row r="142" ht="15.75" customHeight="1">
      <c r="B142" s="2"/>
      <c r="F142" s="7"/>
      <c r="G142" s="7"/>
      <c r="H142" s="7"/>
      <c r="I142" s="2"/>
      <c r="J142" s="12"/>
      <c r="K142" s="7"/>
      <c r="L142" s="7"/>
      <c r="M142" s="22">
        <f t="shared" si="2"/>
        <v>0</v>
      </c>
      <c r="N142" s="2">
        <f t="shared" si="3"/>
        <v>0</v>
      </c>
      <c r="O142" s="22"/>
    </row>
    <row r="143" ht="15.75" customHeight="1">
      <c r="B143" s="2"/>
      <c r="F143" s="7"/>
      <c r="G143" s="7"/>
      <c r="H143" s="7"/>
      <c r="I143" s="2"/>
      <c r="J143" s="12"/>
      <c r="K143" s="7"/>
      <c r="L143" s="7"/>
      <c r="M143" s="22">
        <f t="shared" si="2"/>
        <v>0</v>
      </c>
      <c r="N143" s="2">
        <f t="shared" si="3"/>
        <v>0</v>
      </c>
      <c r="O143" s="22"/>
    </row>
    <row r="144" ht="15.75" customHeight="1">
      <c r="B144" s="2"/>
      <c r="F144" s="7"/>
      <c r="G144" s="7"/>
      <c r="H144" s="7"/>
      <c r="I144" s="2"/>
      <c r="J144" s="12"/>
      <c r="K144" s="7"/>
      <c r="L144" s="7"/>
      <c r="M144" s="22">
        <f t="shared" si="2"/>
        <v>0</v>
      </c>
      <c r="N144" s="2">
        <f t="shared" si="3"/>
        <v>0</v>
      </c>
      <c r="O144" s="22"/>
    </row>
    <row r="145" ht="15.75" customHeight="1">
      <c r="B145" s="2"/>
      <c r="F145" s="7"/>
      <c r="G145" s="7"/>
      <c r="H145" s="7"/>
      <c r="I145" s="2"/>
      <c r="J145" s="12"/>
      <c r="K145" s="7"/>
      <c r="L145" s="7"/>
      <c r="M145" s="22">
        <f t="shared" si="2"/>
        <v>0</v>
      </c>
      <c r="N145" s="2">
        <f t="shared" si="3"/>
        <v>0</v>
      </c>
      <c r="O145" s="22"/>
    </row>
    <row r="146" ht="15.75" customHeight="1">
      <c r="B146" s="2"/>
      <c r="F146" s="7"/>
      <c r="G146" s="7"/>
      <c r="H146" s="7"/>
      <c r="I146" s="2"/>
      <c r="J146" s="12"/>
      <c r="K146" s="7"/>
      <c r="L146" s="7"/>
      <c r="M146" s="22">
        <f t="shared" si="2"/>
        <v>0</v>
      </c>
      <c r="N146" s="2">
        <f t="shared" si="3"/>
        <v>0</v>
      </c>
      <c r="O146" s="22"/>
    </row>
    <row r="147" ht="15.75" customHeight="1">
      <c r="B147" s="2"/>
      <c r="F147" s="7"/>
      <c r="G147" s="7"/>
      <c r="H147" s="7"/>
      <c r="I147" s="2"/>
      <c r="J147" s="12"/>
      <c r="K147" s="7"/>
      <c r="L147" s="7"/>
      <c r="M147" s="22">
        <f t="shared" si="2"/>
        <v>0</v>
      </c>
      <c r="N147" s="2">
        <f t="shared" si="3"/>
        <v>0</v>
      </c>
      <c r="O147" s="22"/>
    </row>
    <row r="148" ht="15.75" customHeight="1">
      <c r="B148" s="2"/>
      <c r="F148" s="7"/>
      <c r="G148" s="7"/>
      <c r="H148" s="7"/>
      <c r="I148" s="2"/>
      <c r="J148" s="12"/>
      <c r="K148" s="7"/>
      <c r="L148" s="7"/>
      <c r="M148" s="22">
        <f t="shared" si="2"/>
        <v>0</v>
      </c>
      <c r="N148" s="2">
        <f t="shared" si="3"/>
        <v>0</v>
      </c>
      <c r="O148" s="22"/>
    </row>
    <row r="149" ht="15.75" customHeight="1">
      <c r="B149" s="2"/>
      <c r="F149" s="7"/>
      <c r="G149" s="7"/>
      <c r="H149" s="7"/>
      <c r="I149" s="2"/>
      <c r="J149" s="12"/>
      <c r="K149" s="7"/>
      <c r="L149" s="7"/>
      <c r="M149" s="22">
        <f t="shared" si="2"/>
        <v>0</v>
      </c>
      <c r="N149" s="2">
        <f t="shared" si="3"/>
        <v>0</v>
      </c>
      <c r="O149" s="22"/>
    </row>
    <row r="150" ht="15.75" customHeight="1">
      <c r="B150" s="2"/>
      <c r="F150" s="7"/>
      <c r="G150" s="7"/>
      <c r="H150" s="7"/>
      <c r="I150" s="2"/>
      <c r="J150" s="12"/>
      <c r="K150" s="7"/>
      <c r="L150" s="7"/>
      <c r="M150" s="22">
        <f t="shared" si="2"/>
        <v>0</v>
      </c>
      <c r="N150" s="2">
        <f t="shared" si="3"/>
        <v>0</v>
      </c>
      <c r="O150" s="22"/>
    </row>
    <row r="151" ht="15.75" customHeight="1">
      <c r="B151" s="2"/>
      <c r="F151" s="7"/>
      <c r="G151" s="7"/>
      <c r="H151" s="7"/>
      <c r="I151" s="2"/>
      <c r="J151" s="12"/>
      <c r="K151" s="7"/>
      <c r="L151" s="7"/>
      <c r="M151" s="22">
        <f t="shared" si="2"/>
        <v>0</v>
      </c>
      <c r="N151" s="2">
        <f t="shared" si="3"/>
        <v>0</v>
      </c>
      <c r="O151" s="22"/>
    </row>
    <row r="152" ht="15.75" customHeight="1">
      <c r="B152" s="2"/>
      <c r="F152" s="7"/>
      <c r="G152" s="7"/>
      <c r="H152" s="7"/>
      <c r="I152" s="2"/>
      <c r="J152" s="12"/>
      <c r="K152" s="7"/>
      <c r="L152" s="7"/>
      <c r="M152" s="22">
        <f t="shared" si="2"/>
        <v>0</v>
      </c>
      <c r="N152" s="2">
        <f t="shared" si="3"/>
        <v>0</v>
      </c>
      <c r="O152" s="22"/>
    </row>
    <row r="153" ht="15.75" customHeight="1">
      <c r="B153" s="2"/>
      <c r="F153" s="7"/>
      <c r="G153" s="7"/>
      <c r="H153" s="7"/>
      <c r="I153" s="2"/>
      <c r="J153" s="12"/>
      <c r="K153" s="7"/>
      <c r="L153" s="7"/>
      <c r="M153" s="22">
        <f t="shared" si="2"/>
        <v>0</v>
      </c>
      <c r="N153" s="2">
        <f t="shared" si="3"/>
        <v>0</v>
      </c>
      <c r="O153" s="22"/>
    </row>
    <row r="154" ht="15.75" customHeight="1">
      <c r="B154" s="2"/>
      <c r="F154" s="7"/>
      <c r="G154" s="7"/>
      <c r="H154" s="7"/>
      <c r="I154" s="2"/>
      <c r="J154" s="12"/>
      <c r="K154" s="7"/>
      <c r="L154" s="7"/>
      <c r="M154" s="22">
        <f t="shared" si="2"/>
        <v>0</v>
      </c>
      <c r="N154" s="2">
        <f t="shared" si="3"/>
        <v>0</v>
      </c>
      <c r="O154" s="22"/>
    </row>
    <row r="155" ht="15.75" customHeight="1">
      <c r="B155" s="2"/>
      <c r="F155" s="7"/>
      <c r="G155" s="7"/>
      <c r="H155" s="7"/>
      <c r="I155" s="2"/>
      <c r="J155" s="12"/>
      <c r="K155" s="7"/>
      <c r="L155" s="7"/>
      <c r="M155" s="22">
        <f t="shared" si="2"/>
        <v>0</v>
      </c>
      <c r="N155" s="2">
        <f t="shared" si="3"/>
        <v>0</v>
      </c>
      <c r="O155" s="22"/>
    </row>
    <row r="156" ht="15.75" customHeight="1">
      <c r="B156" s="2"/>
      <c r="F156" s="7"/>
      <c r="G156" s="7"/>
      <c r="H156" s="7"/>
      <c r="I156" s="2"/>
      <c r="J156" s="12"/>
      <c r="K156" s="7"/>
      <c r="L156" s="7"/>
      <c r="M156" s="22">
        <f t="shared" si="2"/>
        <v>0</v>
      </c>
      <c r="N156" s="2">
        <f t="shared" si="3"/>
        <v>0</v>
      </c>
      <c r="O156" s="22"/>
    </row>
    <row r="157" ht="15.75" customHeight="1">
      <c r="B157" s="2"/>
      <c r="F157" s="7"/>
      <c r="G157" s="7"/>
      <c r="H157" s="7"/>
      <c r="I157" s="2"/>
      <c r="J157" s="12"/>
      <c r="K157" s="7"/>
      <c r="L157" s="7"/>
      <c r="M157" s="22">
        <f t="shared" si="2"/>
        <v>0</v>
      </c>
      <c r="N157" s="2">
        <f t="shared" si="3"/>
        <v>0</v>
      </c>
      <c r="O157" s="22"/>
    </row>
    <row r="158" ht="15.75" customHeight="1">
      <c r="B158" s="2"/>
      <c r="F158" s="7"/>
      <c r="G158" s="7"/>
      <c r="H158" s="7"/>
      <c r="I158" s="2"/>
      <c r="J158" s="12"/>
      <c r="K158" s="7"/>
      <c r="L158" s="7"/>
      <c r="M158" s="22">
        <f t="shared" si="2"/>
        <v>0</v>
      </c>
      <c r="N158" s="2">
        <f t="shared" si="3"/>
        <v>0</v>
      </c>
      <c r="O158" s="22"/>
    </row>
    <row r="159" ht="15.75" customHeight="1">
      <c r="B159" s="2"/>
      <c r="F159" s="7"/>
      <c r="G159" s="7"/>
      <c r="H159" s="7"/>
      <c r="I159" s="2"/>
      <c r="J159" s="12"/>
      <c r="K159" s="7"/>
      <c r="L159" s="7"/>
      <c r="M159" s="22">
        <f t="shared" si="2"/>
        <v>0</v>
      </c>
      <c r="N159" s="2">
        <f t="shared" si="3"/>
        <v>0</v>
      </c>
      <c r="O159" s="22"/>
    </row>
    <row r="160" ht="15.75" customHeight="1">
      <c r="B160" s="2"/>
      <c r="F160" s="7"/>
      <c r="G160" s="7"/>
      <c r="H160" s="7"/>
      <c r="I160" s="2"/>
      <c r="J160" s="12"/>
      <c r="K160" s="7"/>
      <c r="L160" s="7"/>
      <c r="M160" s="22">
        <f t="shared" si="2"/>
        <v>0</v>
      </c>
      <c r="N160" s="2">
        <f t="shared" si="3"/>
        <v>0</v>
      </c>
      <c r="O160" s="22"/>
    </row>
    <row r="161" ht="15.75" customHeight="1">
      <c r="B161" s="2"/>
      <c r="F161" s="7"/>
      <c r="G161" s="7"/>
      <c r="H161" s="7"/>
      <c r="I161" s="2"/>
      <c r="J161" s="12"/>
      <c r="K161" s="7"/>
      <c r="L161" s="7"/>
      <c r="M161" s="22">
        <f t="shared" si="2"/>
        <v>0</v>
      </c>
      <c r="N161" s="2">
        <f t="shared" si="3"/>
        <v>0</v>
      </c>
      <c r="O161" s="22"/>
    </row>
    <row r="162" ht="15.75" customHeight="1">
      <c r="B162" s="2"/>
      <c r="F162" s="7"/>
      <c r="G162" s="7"/>
      <c r="H162" s="7"/>
      <c r="I162" s="2"/>
      <c r="J162" s="12"/>
      <c r="K162" s="7"/>
      <c r="L162" s="7"/>
      <c r="M162" s="22">
        <f t="shared" si="2"/>
        <v>0</v>
      </c>
      <c r="N162" s="2">
        <f t="shared" si="3"/>
        <v>0</v>
      </c>
      <c r="O162" s="22"/>
    </row>
    <row r="163" ht="15.75" customHeight="1">
      <c r="B163" s="2"/>
      <c r="F163" s="7"/>
      <c r="G163" s="7"/>
      <c r="H163" s="7"/>
      <c r="I163" s="2"/>
      <c r="J163" s="12"/>
      <c r="K163" s="7"/>
      <c r="L163" s="7"/>
      <c r="M163" s="22">
        <f t="shared" si="2"/>
        <v>0</v>
      </c>
      <c r="N163" s="2">
        <f t="shared" si="3"/>
        <v>0</v>
      </c>
      <c r="O163" s="22"/>
    </row>
    <row r="164" ht="15.75" customHeight="1">
      <c r="B164" s="2"/>
      <c r="F164" s="7"/>
      <c r="G164" s="7"/>
      <c r="H164" s="7"/>
      <c r="I164" s="2"/>
      <c r="J164" s="12"/>
      <c r="K164" s="7"/>
      <c r="L164" s="7"/>
      <c r="M164" s="22">
        <f t="shared" si="2"/>
        <v>0</v>
      </c>
      <c r="N164" s="2">
        <f t="shared" si="3"/>
        <v>0</v>
      </c>
      <c r="O164" s="22"/>
    </row>
    <row r="165" ht="15.75" customHeight="1">
      <c r="B165" s="2"/>
      <c r="F165" s="7"/>
      <c r="G165" s="7"/>
      <c r="H165" s="7"/>
      <c r="I165" s="2"/>
      <c r="J165" s="12"/>
      <c r="K165" s="7"/>
      <c r="L165" s="7"/>
      <c r="M165" s="22">
        <f t="shared" si="2"/>
        <v>0</v>
      </c>
      <c r="N165" s="2">
        <f t="shared" si="3"/>
        <v>0</v>
      </c>
      <c r="O165" s="22"/>
    </row>
    <row r="166" ht="15.75" customHeight="1">
      <c r="B166" s="2"/>
      <c r="F166" s="7"/>
      <c r="G166" s="7"/>
      <c r="H166" s="7"/>
      <c r="I166" s="2"/>
      <c r="J166" s="12"/>
      <c r="K166" s="7"/>
      <c r="L166" s="7"/>
      <c r="M166" s="22">
        <f t="shared" si="2"/>
        <v>0</v>
      </c>
      <c r="N166" s="2">
        <f t="shared" si="3"/>
        <v>0</v>
      </c>
      <c r="O166" s="22"/>
    </row>
    <row r="167" ht="15.75" customHeight="1">
      <c r="B167" s="2"/>
      <c r="F167" s="7"/>
      <c r="G167" s="7"/>
      <c r="H167" s="7"/>
      <c r="I167" s="2"/>
      <c r="J167" s="12"/>
      <c r="K167" s="7"/>
      <c r="L167" s="7"/>
      <c r="M167" s="22">
        <f t="shared" si="2"/>
        <v>0</v>
      </c>
      <c r="N167" s="2">
        <f t="shared" si="3"/>
        <v>0</v>
      </c>
      <c r="O167" s="22"/>
    </row>
    <row r="168" ht="15.75" customHeight="1">
      <c r="B168" s="2"/>
      <c r="F168" s="7"/>
      <c r="G168" s="7"/>
      <c r="H168" s="7"/>
      <c r="I168" s="2"/>
      <c r="J168" s="12"/>
      <c r="K168" s="7"/>
      <c r="L168" s="7"/>
      <c r="M168" s="22">
        <f t="shared" si="2"/>
        <v>0</v>
      </c>
      <c r="N168" s="2">
        <f t="shared" si="3"/>
        <v>0</v>
      </c>
      <c r="O168" s="22"/>
    </row>
    <row r="169" ht="15.75" customHeight="1">
      <c r="B169" s="2"/>
      <c r="F169" s="7"/>
      <c r="G169" s="7"/>
      <c r="H169" s="7"/>
      <c r="I169" s="2"/>
      <c r="J169" s="12"/>
      <c r="K169" s="7"/>
      <c r="L169" s="7"/>
      <c r="M169" s="22">
        <f t="shared" si="2"/>
        <v>0</v>
      </c>
      <c r="N169" s="2">
        <f t="shared" si="3"/>
        <v>0</v>
      </c>
      <c r="O169" s="22"/>
    </row>
    <row r="170" ht="15.75" customHeight="1">
      <c r="B170" s="2"/>
      <c r="F170" s="7"/>
      <c r="G170" s="7"/>
      <c r="H170" s="7"/>
      <c r="I170" s="2"/>
      <c r="J170" s="12"/>
      <c r="K170" s="7"/>
      <c r="L170" s="7"/>
      <c r="M170" s="22">
        <f t="shared" si="2"/>
        <v>0</v>
      </c>
      <c r="N170" s="2">
        <f t="shared" si="3"/>
        <v>0</v>
      </c>
      <c r="O170" s="22"/>
    </row>
    <row r="171" ht="15.75" customHeight="1">
      <c r="B171" s="2"/>
      <c r="F171" s="7"/>
      <c r="G171" s="7"/>
      <c r="H171" s="7"/>
      <c r="I171" s="2"/>
      <c r="J171" s="12"/>
      <c r="K171" s="7"/>
      <c r="L171" s="7"/>
      <c r="M171" s="22">
        <f t="shared" si="2"/>
        <v>0</v>
      </c>
      <c r="N171" s="2">
        <f t="shared" si="3"/>
        <v>0</v>
      </c>
      <c r="O171" s="22"/>
    </row>
    <row r="172" ht="15.75" customHeight="1">
      <c r="B172" s="2"/>
      <c r="F172" s="7"/>
      <c r="G172" s="7"/>
      <c r="H172" s="7"/>
      <c r="I172" s="2"/>
      <c r="J172" s="12"/>
      <c r="K172" s="7"/>
      <c r="L172" s="7"/>
      <c r="M172" s="22">
        <f t="shared" si="2"/>
        <v>0</v>
      </c>
      <c r="N172" s="2">
        <f t="shared" si="3"/>
        <v>0</v>
      </c>
      <c r="O172" s="22"/>
    </row>
    <row r="173" ht="15.75" customHeight="1">
      <c r="B173" s="2"/>
      <c r="F173" s="7"/>
      <c r="G173" s="7"/>
      <c r="H173" s="7"/>
      <c r="I173" s="2"/>
      <c r="J173" s="12"/>
      <c r="K173" s="7"/>
      <c r="L173" s="7"/>
      <c r="M173" s="22">
        <f t="shared" si="2"/>
        <v>0</v>
      </c>
      <c r="N173" s="2">
        <f t="shared" si="3"/>
        <v>0</v>
      </c>
      <c r="O173" s="22"/>
    </row>
    <row r="174" ht="15.75" customHeight="1">
      <c r="B174" s="2"/>
      <c r="F174" s="7"/>
      <c r="G174" s="7"/>
      <c r="H174" s="7"/>
      <c r="I174" s="2"/>
      <c r="J174" s="12"/>
      <c r="K174" s="7"/>
      <c r="L174" s="7"/>
      <c r="M174" s="22">
        <f t="shared" si="2"/>
        <v>0</v>
      </c>
      <c r="N174" s="2">
        <f t="shared" si="3"/>
        <v>0</v>
      </c>
      <c r="O174" s="22"/>
    </row>
    <row r="175" ht="15.75" customHeight="1">
      <c r="B175" s="2"/>
      <c r="F175" s="7"/>
      <c r="G175" s="7"/>
      <c r="H175" s="7"/>
      <c r="I175" s="2"/>
      <c r="J175" s="12"/>
      <c r="K175" s="7"/>
      <c r="L175" s="7"/>
      <c r="M175" s="22">
        <f t="shared" si="2"/>
        <v>0</v>
      </c>
      <c r="N175" s="2">
        <f t="shared" si="3"/>
        <v>0</v>
      </c>
      <c r="O175" s="22"/>
    </row>
    <row r="176" ht="15.75" customHeight="1">
      <c r="B176" s="2"/>
      <c r="F176" s="7"/>
      <c r="G176" s="7"/>
      <c r="H176" s="7"/>
      <c r="I176" s="2"/>
      <c r="J176" s="12"/>
      <c r="K176" s="7"/>
      <c r="L176" s="7"/>
      <c r="M176" s="22">
        <f t="shared" si="2"/>
        <v>0</v>
      </c>
      <c r="N176" s="2">
        <f t="shared" si="3"/>
        <v>0</v>
      </c>
      <c r="O176" s="22"/>
    </row>
    <row r="177" ht="15.75" customHeight="1">
      <c r="B177" s="2"/>
      <c r="F177" s="7"/>
      <c r="G177" s="7"/>
      <c r="H177" s="7"/>
      <c r="I177" s="2"/>
      <c r="J177" s="12"/>
      <c r="K177" s="7"/>
      <c r="L177" s="7"/>
      <c r="M177" s="22">
        <f t="shared" si="2"/>
        <v>0</v>
      </c>
      <c r="N177" s="2">
        <f t="shared" si="3"/>
        <v>0</v>
      </c>
      <c r="O177" s="22"/>
    </row>
    <row r="178" ht="15.75" customHeight="1">
      <c r="B178" s="2"/>
      <c r="F178" s="7"/>
      <c r="G178" s="7"/>
      <c r="H178" s="7"/>
      <c r="I178" s="2"/>
      <c r="J178" s="12"/>
      <c r="K178" s="7"/>
      <c r="L178" s="7"/>
      <c r="M178" s="22">
        <f t="shared" si="2"/>
        <v>0</v>
      </c>
      <c r="N178" s="2">
        <f t="shared" si="3"/>
        <v>0</v>
      </c>
      <c r="O178" s="22"/>
    </row>
    <row r="179" ht="15.75" customHeight="1">
      <c r="B179" s="2"/>
      <c r="F179" s="7"/>
      <c r="G179" s="7"/>
      <c r="H179" s="7"/>
      <c r="I179" s="2"/>
      <c r="J179" s="12"/>
      <c r="K179" s="7"/>
      <c r="L179" s="7"/>
      <c r="M179" s="22">
        <f t="shared" si="2"/>
        <v>0</v>
      </c>
      <c r="N179" s="2">
        <f t="shared" si="3"/>
        <v>0</v>
      </c>
      <c r="O179" s="22"/>
    </row>
    <row r="180" ht="15.75" customHeight="1">
      <c r="B180" s="2"/>
      <c r="F180" s="7"/>
      <c r="G180" s="7"/>
      <c r="H180" s="7"/>
      <c r="I180" s="2"/>
      <c r="J180" s="12"/>
      <c r="K180" s="7"/>
      <c r="L180" s="7"/>
      <c r="M180" s="22">
        <f t="shared" si="2"/>
        <v>0</v>
      </c>
      <c r="N180" s="2">
        <f t="shared" si="3"/>
        <v>0</v>
      </c>
      <c r="O180" s="22"/>
    </row>
    <row r="181" ht="15.75" customHeight="1">
      <c r="B181" s="2"/>
      <c r="F181" s="7"/>
      <c r="G181" s="7"/>
      <c r="H181" s="7"/>
      <c r="I181" s="2"/>
      <c r="J181" s="12"/>
      <c r="K181" s="7"/>
      <c r="L181" s="7"/>
      <c r="M181" s="22">
        <f t="shared" si="2"/>
        <v>0</v>
      </c>
      <c r="N181" s="2">
        <f t="shared" si="3"/>
        <v>0</v>
      </c>
      <c r="O181" s="22"/>
    </row>
    <row r="182" ht="15.75" customHeight="1">
      <c r="B182" s="2"/>
      <c r="F182" s="7"/>
      <c r="G182" s="7"/>
      <c r="H182" s="7"/>
      <c r="I182" s="2"/>
      <c r="J182" s="12"/>
      <c r="K182" s="7"/>
      <c r="L182" s="7"/>
      <c r="M182" s="22">
        <f t="shared" si="2"/>
        <v>0</v>
      </c>
      <c r="N182" s="2">
        <f t="shared" si="3"/>
        <v>0</v>
      </c>
      <c r="O182" s="22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P1:S1"/>
    <mergeCell ref="U1:X1"/>
    <mergeCell ref="D7:D8"/>
    <mergeCell ref="P16:S16"/>
    <mergeCell ref="P29:S29"/>
  </mergeCells>
  <conditionalFormatting sqref="D38:E52">
    <cfRule type="cellIs" dxfId="0" priority="1" operator="greaterThan">
      <formula>B45</formula>
    </cfRule>
  </conditionalFormatting>
  <conditionalFormatting sqref="D38:E52">
    <cfRule type="cellIs" dxfId="1" priority="2" operator="lessThanOrEqual">
      <formula>B45</formula>
    </cfRule>
  </conditionalFormatting>
  <conditionalFormatting sqref="C18:C26 C29:C42">
    <cfRule type="cellIs" dxfId="0" priority="3" operator="greaterThan">
      <formula>B18</formula>
    </cfRule>
  </conditionalFormatting>
  <conditionalFormatting sqref="C18:C26 C29:C42">
    <cfRule type="cellIs" dxfId="1" priority="4" operator="lessThanOrEqual">
      <formula>B18</formula>
    </cfRule>
  </conditionalFormatting>
  <conditionalFormatting sqref="B47:C47">
    <cfRule type="cellIs" dxfId="2" priority="5" operator="greaterThan">
      <formula>0</formula>
    </cfRule>
  </conditionalFormatting>
  <conditionalFormatting sqref="B47:C47">
    <cfRule type="cellIs" dxfId="3" priority="6" operator="lessThanOrEqual">
      <formula>0</formula>
    </cfRule>
  </conditionalFormatting>
  <dataValidations>
    <dataValidation type="list" allowBlank="1" showErrorMessage="1" sqref="H33">
      <formula1>May!$A$18:$A$42</formula1>
    </dataValidation>
    <dataValidation type="list" allowBlank="1" showErrorMessage="1" sqref="K18:K182">
      <formula1>'CARD USED - LIST'!$A$2:$A$50</formula1>
    </dataValidation>
    <dataValidation type="list" allowBlank="1" showErrorMessage="1" sqref="H18:H32 H34:H182">
      <formula1>June!$A$18:$A$42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6" width="12.63"/>
  </cols>
  <sheetData>
    <row r="1">
      <c r="A1" s="21" t="s">
        <v>171</v>
      </c>
    </row>
    <row r="2">
      <c r="A2" s="56"/>
    </row>
    <row r="3">
      <c r="A3" s="56"/>
    </row>
    <row r="4">
      <c r="A4" s="56"/>
    </row>
    <row r="5">
      <c r="A5" s="56" t="s">
        <v>71</v>
      </c>
    </row>
    <row r="6">
      <c r="A6" s="56" t="s">
        <v>54</v>
      </c>
    </row>
    <row r="7">
      <c r="A7" s="56"/>
    </row>
    <row r="8">
      <c r="A8" s="56"/>
    </row>
    <row r="9">
      <c r="A9" s="56"/>
    </row>
    <row r="10">
      <c r="A10" s="56"/>
    </row>
    <row r="11">
      <c r="A11" s="56"/>
    </row>
    <row r="12">
      <c r="A12" s="56"/>
    </row>
    <row r="13">
      <c r="A13" s="56"/>
    </row>
    <row r="14">
      <c r="A14" s="56"/>
    </row>
    <row r="15">
      <c r="A15" s="56"/>
    </row>
    <row r="16">
      <c r="A16" s="56"/>
    </row>
    <row r="17">
      <c r="A17" s="56"/>
    </row>
    <row r="18">
      <c r="A18" s="56"/>
    </row>
    <row r="19">
      <c r="A19" s="56"/>
    </row>
    <row r="20">
      <c r="A20" s="56"/>
    </row>
    <row r="21" ht="15.75" customHeight="1">
      <c r="A21" s="56"/>
    </row>
    <row r="22" ht="15.75" customHeight="1">
      <c r="A22" s="56"/>
    </row>
    <row r="23" ht="15.75" customHeight="1">
      <c r="A23" s="56"/>
    </row>
    <row r="24" ht="15.75" customHeight="1">
      <c r="A24" s="56"/>
    </row>
    <row r="25" ht="15.75" customHeight="1">
      <c r="A25" s="56"/>
    </row>
    <row r="26" ht="15.75" customHeight="1">
      <c r="A26" s="56"/>
    </row>
    <row r="27" ht="15.75" customHeight="1">
      <c r="A27" s="56" t="s">
        <v>39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